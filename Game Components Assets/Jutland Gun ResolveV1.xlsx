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 activeTab="2"/>
  </bookViews>
  <sheets>
    <sheet name="损伤表" sheetId="1" r:id="rId1"/>
    <sheet name="命中表 " sheetId="2" r:id="rId2"/>
    <sheet name="命中修正表" sheetId="4" r:id="rId3"/>
    <sheet name="甲弹表" sheetId="3" r:id="rId4"/>
    <sheet name="中口径结算表" sheetId="5" r:id="rId5"/>
  </sheets>
  <definedNames>
    <definedName name="_xlnm.Print_Area" localSheetId="0">损伤表!$A$1:$Z$61</definedName>
    <definedName name="_xlnm.Print_Area" localSheetId="1">'命中表 '!$A$1:$R$33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<sst xmlns="http://schemas.openxmlformats.org/spreadsheetml/2006/main" count="382" uniqueCount="230">
  <si>
    <r>
      <rPr>
        <sz val="12"/>
        <color theme="1"/>
        <rFont val="黑体"/>
        <charset val="134"/>
      </rPr>
      <t>火炮型号</t>
    </r>
  </si>
  <si>
    <t>弹种</t>
  </si>
  <si>
    <r>
      <rPr>
        <sz val="12"/>
        <color theme="1"/>
        <rFont val="黑体"/>
        <charset val="134"/>
      </rPr>
      <t>距离</t>
    </r>
    <r>
      <rPr>
        <sz val="12"/>
        <color theme="1"/>
        <rFont val="Times New Roman"/>
        <charset val="134"/>
      </rPr>
      <t>-</t>
    </r>
    <r>
      <rPr>
        <sz val="12"/>
        <color theme="1"/>
        <rFont val="黑体"/>
        <charset val="134"/>
      </rPr>
      <t>落弹角</t>
    </r>
  </si>
  <si>
    <r>
      <rPr>
        <sz val="12"/>
        <color theme="1"/>
        <rFont val="黑体"/>
        <charset val="134"/>
      </rPr>
      <t>非装甲</t>
    </r>
  </si>
  <si>
    <r>
      <rPr>
        <sz val="12"/>
        <color theme="1"/>
        <rFont val="黑体"/>
        <charset val="134"/>
      </rPr>
      <t>特</t>
    </r>
  </si>
  <si>
    <r>
      <rPr>
        <sz val="12"/>
        <rFont val="黑体"/>
        <charset val="134"/>
      </rPr>
      <t>装甲区命中</t>
    </r>
  </si>
  <si>
    <t>0-10°</t>
  </si>
  <si>
    <t>10-20°</t>
  </si>
  <si>
    <t>20-30°</t>
  </si>
  <si>
    <t>30-40°</t>
  </si>
  <si>
    <t>12"/45  Mark X</t>
  </si>
  <si>
    <t>APC Mark VIa (4crh)</t>
  </si>
  <si>
    <t>-</t>
  </si>
  <si>
    <t>12"/45  Mark XIII</t>
  </si>
  <si>
    <t>APC Mark VI (2crh)</t>
  </si>
  <si>
    <t>12"/50  Marks XI,XI* and XII</t>
  </si>
  <si>
    <t>13.5"/45  Mark V(L)</t>
  </si>
  <si>
    <t>APC Mark IIa</t>
  </si>
  <si>
    <t>13.5"/45  Mark V,VI(H)</t>
  </si>
  <si>
    <t>APC Mark Ia</t>
  </si>
  <si>
    <t>14"/45  Mark I</t>
  </si>
  <si>
    <t>15"/42  Mark I</t>
  </si>
  <si>
    <t>APC Mark Ia (4crh)</t>
  </si>
  <si>
    <t>28 cm/45  SK L/45</t>
  </si>
  <si>
    <t>APC L/3,2</t>
  </si>
  <si>
    <t>28 cm/50  SK L/50</t>
  </si>
  <si>
    <t>21000*</t>
  </si>
  <si>
    <t>30.5 cm/50  SK L/50</t>
  </si>
  <si>
    <t>APC L/3,4</t>
  </si>
  <si>
    <t>38 cm/45  SK L/45</t>
  </si>
  <si>
    <t>APC L/3,5</t>
  </si>
  <si>
    <t>注：为了绘图方便，部分数据做了取整处理</t>
  </si>
  <si>
    <t>致命打击</t>
  </si>
  <si>
    <t>再1D6，若此值小于等于命中骰值-3，则生效</t>
  </si>
  <si>
    <t>*：毛奇19500</t>
  </si>
  <si>
    <t>追加打击</t>
  </si>
  <si>
    <t>再投一骰，损伤再加上此骰查表结果</t>
  </si>
  <si>
    <t>解释：如13.4/45H对装甲6命中，骰值5+6=11致命打击，
再1D6，若结果小于等于2（5-3），则进入致命打击表</t>
  </si>
  <si>
    <t>炮塔命中</t>
  </si>
  <si>
    <t>查甲弹表，击穿则1D10</t>
  </si>
  <si>
    <t>炮座炮廓命中</t>
  </si>
  <si>
    <t>炮塔、炮管、副炮命中可重复命中同一炮塔、炮管、副炮，则不计损伤</t>
  </si>
  <si>
    <t>特殊损伤</t>
  </si>
  <si>
    <t>指挥塔、水中弹、炮管、火控</t>
  </si>
  <si>
    <t>进水</t>
  </si>
  <si>
    <t>放置一个进水标记</t>
  </si>
  <si>
    <t>1D10</t>
  </si>
  <si>
    <t>特殊损伤结果</t>
  </si>
  <si>
    <t>效果</t>
  </si>
  <si>
    <t>1</t>
  </si>
  <si>
    <t>水中弹</t>
  </si>
  <si>
    <t>船体受损4D10，航速降低1D6节，进水*2</t>
  </si>
  <si>
    <t>2</t>
  </si>
  <si>
    <t>船体受损2D10，航速降低1D4节，进水</t>
  </si>
  <si>
    <t>3 - 4</t>
  </si>
  <si>
    <t>船体受损1D10，进水</t>
  </si>
  <si>
    <t>5 - 6</t>
  </si>
  <si>
    <t>舰桥</t>
  </si>
  <si>
    <t>查甲弹表，击穿则 转向失灵+不能开火+不能通讯 1D6回合</t>
  </si>
  <si>
    <t>7</t>
  </si>
  <si>
    <t>火控</t>
  </si>
  <si>
    <t>命中率降低 1D6，持续 1D4 回合</t>
  </si>
  <si>
    <t>8</t>
  </si>
  <si>
    <t>船舵</t>
  </si>
  <si>
    <t>转向失灵 1D4 回合</t>
  </si>
  <si>
    <t>9</t>
  </si>
  <si>
    <t>通讯</t>
  </si>
  <si>
    <t>不能通讯（发出） 1D4 回合</t>
  </si>
  <si>
    <t>10</t>
  </si>
  <si>
    <t>炮管</t>
  </si>
  <si>
    <t>向敌侧随机一座炮塔火力减半</t>
  </si>
  <si>
    <t>1 - 4</t>
  </si>
  <si>
    <t>炮座命中</t>
  </si>
  <si>
    <t>先查甲弹表，再执行一次炮塔命中1D10判定</t>
  </si>
  <si>
    <t>炮廓命中（英）</t>
  </si>
  <si>
    <t>船体受损2D10，向敌侧副炮受损50%</t>
  </si>
  <si>
    <t>炮廓命中（德）</t>
  </si>
  <si>
    <t>船体受损1D10，向敌侧副炮受损20%</t>
  </si>
  <si>
    <t>7 - 8</t>
  </si>
  <si>
    <t>炮廓命中</t>
  </si>
  <si>
    <t>船体受损1D6，向敌侧副炮受损10%</t>
  </si>
  <si>
    <t>9 - 10</t>
  </si>
  <si>
    <t>副炮命中</t>
  </si>
  <si>
    <t>向敌侧副炮受损10%</t>
  </si>
  <si>
    <t>1 - 3</t>
  </si>
  <si>
    <t>诱爆药库（英）</t>
  </si>
  <si>
    <t>沉没</t>
  </si>
  <si>
    <t>4 - 5</t>
  </si>
  <si>
    <t>引燃发射药（英）</t>
  </si>
  <si>
    <t>船体受损2D10，随机一炮塔彻底受损，按比例减少弹药</t>
  </si>
  <si>
    <t>6 - 8</t>
  </si>
  <si>
    <t>炮塔损毁</t>
  </si>
  <si>
    <t>向敌侧随机一炮塔彻底受损</t>
  </si>
  <si>
    <t>炮塔卡死</t>
  </si>
  <si>
    <t>向敌侧随机一炮塔受损 1D6 回合</t>
  </si>
  <si>
    <t>诱爆药库（德）</t>
  </si>
  <si>
    <t>2 - 3</t>
  </si>
  <si>
    <t>引燃发射药（德）</t>
  </si>
  <si>
    <t>船体受损2D20，随机两相邻炮塔彻底受损，按比例减少弹药</t>
  </si>
  <si>
    <t>命中弹药库</t>
  </si>
  <si>
    <t>动力受损</t>
  </si>
  <si>
    <t>船体受损1D20，航速降低1D4节</t>
  </si>
  <si>
    <t>3</t>
  </si>
  <si>
    <t>无需查表，执行一次炮塔命中1D10判定</t>
  </si>
  <si>
    <t>引燃副炮</t>
  </si>
  <si>
    <t>船体受损1D20，向敌侧副炮受损50%</t>
  </si>
  <si>
    <t>6</t>
  </si>
  <si>
    <t>火控瘫痪</t>
  </si>
  <si>
    <t>不能开火 1D4 回合</t>
  </si>
  <si>
    <t>转向机构命中</t>
  </si>
  <si>
    <t>不能通讯 1D4 回合</t>
  </si>
  <si>
    <t>船体受损 1D10，进水</t>
  </si>
  <si>
    <r>
      <rPr>
        <vertAlign val="subscript"/>
        <sz val="14"/>
        <color theme="0"/>
        <rFont val="黑体"/>
        <charset val="134"/>
      </rPr>
      <t>命中率</t>
    </r>
    <r>
      <rPr>
        <vertAlign val="superscript"/>
        <sz val="14"/>
        <color theme="0"/>
        <rFont val="黑体"/>
        <charset val="134"/>
      </rPr>
      <t xml:space="preserve">    射击数</t>
    </r>
  </si>
  <si>
    <t>命中数</t>
  </si>
  <si>
    <t>修正骰</t>
  </si>
  <si>
    <t>0</t>
  </si>
  <si>
    <t>1D4 -2</t>
  </si>
  <si>
    <t>1 - 2</t>
  </si>
  <si>
    <t>2D4 -5</t>
  </si>
  <si>
    <t>3 - 7</t>
  </si>
  <si>
    <t>2D6 -7</t>
  </si>
  <si>
    <t>8 - 12</t>
  </si>
  <si>
    <t>2D10 -11</t>
  </si>
  <si>
    <t>13 - 20</t>
  </si>
  <si>
    <t>2D12 -13</t>
  </si>
  <si>
    <t>21 - 30</t>
  </si>
  <si>
    <t>3D10 -16</t>
  </si>
  <si>
    <t>31 - 42</t>
  </si>
  <si>
    <t>2D20 -21</t>
  </si>
  <si>
    <t>43+</t>
  </si>
  <si>
    <t>事件</t>
  </si>
  <si>
    <t>修正值</t>
  </si>
  <si>
    <t>目标舰规避机动（英射击）</t>
  </si>
  <si>
    <t>-3%</t>
  </si>
  <si>
    <t>目标舰规避机动（德射击）</t>
  </si>
  <si>
    <t>-2%</t>
  </si>
  <si>
    <t>我舰规避机动</t>
  </si>
  <si>
    <t>目标舰大幅转向</t>
  </si>
  <si>
    <t>我舰大幅转向</t>
  </si>
  <si>
    <t>双方规避机动，大幅转向*</t>
  </si>
  <si>
    <t>-8%</t>
  </si>
  <si>
    <t>对目标纵射</t>
  </si>
  <si>
    <t>+2%</t>
  </si>
  <si>
    <t>我舰纵射</t>
  </si>
  <si>
    <t>-1%</t>
  </si>
  <si>
    <t>我舰被射击</t>
  </si>
  <si>
    <t>目标背光</t>
  </si>
  <si>
    <t>两艘集火</t>
  </si>
  <si>
    <t>三+集火</t>
  </si>
  <si>
    <t>疲劳（德）</t>
  </si>
  <si>
    <t>缺乏训练（BCF）</t>
  </si>
  <si>
    <t>低火控</t>
  </si>
  <si>
    <t>优火控</t>
  </si>
  <si>
    <t>+1%</t>
  </si>
  <si>
    <t>射击轻型舰船</t>
  </si>
  <si>
    <t>-5%</t>
  </si>
  <si>
    <t>对低速（&lt;=10kn）目标射击,
x=CEILING[(11-Speed)/2]</t>
  </si>
  <si>
    <t>+x%</t>
  </si>
  <si>
    <t>烟雾射击（英）</t>
  </si>
  <si>
    <t>烟雾射击（德）</t>
  </si>
  <si>
    <t>夜间射击(英）</t>
  </si>
  <si>
    <t>/2.5</t>
  </si>
  <si>
    <t>夜间射击（德）</t>
  </si>
  <si>
    <t>/2</t>
  </si>
  <si>
    <t>命中率不低于0%</t>
  </si>
  <si>
    <t>*：双方均机动，忽略单独修正，使用此格</t>
  </si>
  <si>
    <t>规避机动：Shell Chasing，此回合航速-3kn</t>
  </si>
  <si>
    <t>大幅转向：回合内转向过4+个罗经点，与规避机动叠加</t>
  </si>
  <si>
    <t>低火控：AC B</t>
  </si>
  <si>
    <t>疲劳：德舰开火累计2h后触发</t>
  </si>
  <si>
    <t>优火控：QE class &amp; R class</t>
  </si>
  <si>
    <r>
      <rPr>
        <sz val="11"/>
        <color theme="1"/>
        <rFont val="黑体"/>
        <charset val="134"/>
      </rPr>
      <t>落弹角</t>
    </r>
  </si>
  <si>
    <t>A:14</t>
  </si>
  <si>
    <t>B:12</t>
  </si>
  <si>
    <t>12"/45 (30.5 cm) Mark X</t>
  </si>
  <si>
    <r>
      <rPr>
        <sz val="11"/>
        <color rgb="FF0070C0"/>
        <rFont val="Times New Roman"/>
        <charset val="134"/>
      </rPr>
      <t>E</t>
    </r>
    <r>
      <rPr>
        <sz val="11"/>
        <color theme="1"/>
        <rFont val="Times New Roman"/>
        <charset val="134"/>
      </rPr>
      <t>FG</t>
    </r>
  </si>
  <si>
    <r>
      <rPr>
        <sz val="11"/>
        <color rgb="FF0070C0"/>
        <rFont val="Times New Roman"/>
        <charset val="134"/>
      </rPr>
      <t>F</t>
    </r>
    <r>
      <rPr>
        <sz val="11"/>
        <color theme="1"/>
        <rFont val="Times New Roman"/>
        <charset val="134"/>
      </rPr>
      <t>G</t>
    </r>
  </si>
  <si>
    <r>
      <rPr>
        <sz val="11"/>
        <color rgb="FFC00000"/>
        <rFont val="Times New Roman"/>
        <charset val="134"/>
      </rPr>
      <t>F</t>
    </r>
    <r>
      <rPr>
        <sz val="11"/>
        <color rgb="FF0070C0"/>
        <rFont val="Times New Roman"/>
        <charset val="134"/>
      </rPr>
      <t>G</t>
    </r>
  </si>
  <si>
    <r>
      <rPr>
        <sz val="11"/>
        <color rgb="FFC00000"/>
        <rFont val="Times New Roman"/>
        <charset val="134"/>
      </rPr>
      <t>DE</t>
    </r>
    <r>
      <rPr>
        <sz val="11"/>
        <color rgb="FF0070C0"/>
        <rFont val="Times New Roman"/>
        <charset val="134"/>
      </rPr>
      <t>FG</t>
    </r>
  </si>
  <si>
    <t>C:11</t>
  </si>
  <si>
    <t>12"/45 (30.5 cm) Elswick Pattern L</t>
  </si>
  <si>
    <t>D:10.5</t>
  </si>
  <si>
    <t>12"/50 (30.5 cm) Marks XI,XI* and XII</t>
  </si>
  <si>
    <r>
      <rPr>
        <sz val="11"/>
        <color rgb="FFC00000"/>
        <rFont val="Times New Roman"/>
        <charset val="134"/>
      </rPr>
      <t>D</t>
    </r>
    <r>
      <rPr>
        <sz val="11"/>
        <color rgb="FF0070C0"/>
        <rFont val="Times New Roman"/>
        <charset val="134"/>
      </rPr>
      <t>E</t>
    </r>
    <r>
      <rPr>
        <sz val="11"/>
        <color theme="1"/>
        <rFont val="Times New Roman"/>
        <charset val="134"/>
      </rPr>
      <t>FG</t>
    </r>
  </si>
  <si>
    <r>
      <rPr>
        <sz val="11"/>
        <color rgb="FFC00000"/>
        <rFont val="Times New Roman"/>
        <charset val="134"/>
      </rPr>
      <t>E</t>
    </r>
    <r>
      <rPr>
        <sz val="11"/>
        <color rgb="FF0070C0"/>
        <rFont val="Times New Roman"/>
        <charset val="134"/>
      </rPr>
      <t>F</t>
    </r>
    <r>
      <rPr>
        <sz val="11"/>
        <color theme="1"/>
        <rFont val="Times New Roman"/>
        <charset val="134"/>
      </rPr>
      <t>G</t>
    </r>
  </si>
  <si>
    <t>E:9</t>
  </si>
  <si>
    <t>13.5"/45 (34.3 cm) Mark V(L)</t>
  </si>
  <si>
    <r>
      <rPr>
        <sz val="11"/>
        <color rgb="FFC00000"/>
        <rFont val="Times New Roman"/>
        <charset val="134"/>
      </rPr>
      <t>C</t>
    </r>
    <r>
      <rPr>
        <sz val="11"/>
        <color rgb="FF0070C0"/>
        <rFont val="Times New Roman"/>
        <charset val="134"/>
      </rPr>
      <t>D</t>
    </r>
    <r>
      <rPr>
        <sz val="11"/>
        <color theme="1"/>
        <rFont val="Times New Roman"/>
        <charset val="134"/>
      </rPr>
      <t>EFG</t>
    </r>
  </si>
  <si>
    <r>
      <rPr>
        <sz val="11"/>
        <color rgb="FF0070C0"/>
        <rFont val="Times New Roman"/>
        <charset val="134"/>
      </rPr>
      <t>D</t>
    </r>
    <r>
      <rPr>
        <sz val="11"/>
        <color theme="1"/>
        <rFont val="Times New Roman"/>
        <charset val="134"/>
      </rPr>
      <t>EFG</t>
    </r>
  </si>
  <si>
    <t>F:8</t>
  </si>
  <si>
    <t>13.5"/45 (34.3 cm) Mark V,VI(H)</t>
  </si>
  <si>
    <t>G:7</t>
  </si>
  <si>
    <t>14"/45 (35.6 cm) Mark I</t>
  </si>
  <si>
    <r>
      <rPr>
        <sz val="11"/>
        <color rgb="FFC00000"/>
        <rFont val="Times New Roman"/>
        <charset val="134"/>
      </rPr>
      <t>B</t>
    </r>
    <r>
      <rPr>
        <sz val="11"/>
        <color rgb="FF0070C0"/>
        <rFont val="Times New Roman"/>
        <charset val="134"/>
      </rPr>
      <t>C</t>
    </r>
    <r>
      <rPr>
        <sz val="11"/>
        <color theme="1"/>
        <rFont val="Times New Roman"/>
        <charset val="134"/>
      </rPr>
      <t>DEFG</t>
    </r>
  </si>
  <si>
    <r>
      <rPr>
        <sz val="11"/>
        <color rgb="FFC00000"/>
        <rFont val="Times New Roman"/>
        <charset val="134"/>
      </rPr>
      <t>CD</t>
    </r>
    <r>
      <rPr>
        <sz val="11"/>
        <color rgb="FF0070C0"/>
        <rFont val="Times New Roman"/>
        <charset val="134"/>
      </rPr>
      <t>E</t>
    </r>
    <r>
      <rPr>
        <sz val="11"/>
        <color theme="1"/>
        <rFont val="Times New Roman"/>
        <charset val="134"/>
      </rPr>
      <t>FG</t>
    </r>
  </si>
  <si>
    <r>
      <rPr>
        <sz val="11"/>
        <color rgb="FFC00000"/>
        <rFont val="Times New Roman"/>
        <charset val="134"/>
      </rPr>
      <t>AB</t>
    </r>
    <r>
      <rPr>
        <sz val="11"/>
        <color rgb="FF0070C0"/>
        <rFont val="Times New Roman"/>
        <charset val="134"/>
      </rPr>
      <t>CD</t>
    </r>
    <r>
      <rPr>
        <sz val="11"/>
        <color theme="1"/>
        <rFont val="Times New Roman"/>
        <charset val="134"/>
      </rPr>
      <t>EFG</t>
    </r>
  </si>
  <si>
    <t>15"/42 (38.1 cm) Mark I</t>
  </si>
  <si>
    <t>28 cm/45 (11") SK L/45</t>
  </si>
  <si>
    <t>G</t>
  </si>
  <si>
    <r>
      <rPr>
        <sz val="11"/>
        <color rgb="FFC00000"/>
        <rFont val="Times New Roman"/>
        <charset val="134"/>
      </rPr>
      <t>E</t>
    </r>
    <r>
      <rPr>
        <sz val="11"/>
        <color rgb="FF0070C0"/>
        <rFont val="Times New Roman"/>
        <charset val="134"/>
      </rPr>
      <t>FG</t>
    </r>
  </si>
  <si>
    <t>28 cm/50 (11") SK L/50</t>
  </si>
  <si>
    <t>30.5 cm/50 (12") SK L/50</t>
  </si>
  <si>
    <t>38 cm/45 (14.96") SK L/45</t>
  </si>
  <si>
    <r>
      <rPr>
        <sz val="11"/>
        <color rgb="FFC00000"/>
        <rFont val="Times New Roman"/>
        <charset val="134"/>
      </rPr>
      <t>A</t>
    </r>
    <r>
      <rPr>
        <sz val="11"/>
        <color rgb="FF0070C0"/>
        <rFont val="Times New Roman"/>
        <charset val="134"/>
      </rPr>
      <t>BC</t>
    </r>
    <r>
      <rPr>
        <sz val="11"/>
        <color theme="1"/>
        <rFont val="Times New Roman"/>
        <charset val="134"/>
      </rPr>
      <t>DEFG</t>
    </r>
  </si>
  <si>
    <r>
      <rPr>
        <sz val="11"/>
        <color rgb="FFC00000"/>
        <rFont val="Times New Roman"/>
        <charset val="134"/>
      </rPr>
      <t>B</t>
    </r>
    <r>
      <rPr>
        <sz val="11"/>
        <color rgb="FF0070C0"/>
        <rFont val="Times New Roman"/>
        <charset val="134"/>
      </rPr>
      <t>CD</t>
    </r>
    <r>
      <rPr>
        <sz val="11"/>
        <color theme="1"/>
        <rFont val="Times New Roman"/>
        <charset val="134"/>
      </rPr>
      <t>EFG</t>
    </r>
  </si>
  <si>
    <r>
      <rPr>
        <sz val="11"/>
        <color rgb="FFC00000"/>
        <rFont val="Times New Roman"/>
        <charset val="134"/>
      </rPr>
      <t>C</t>
    </r>
    <r>
      <rPr>
        <sz val="11"/>
        <color rgb="FF0070C0"/>
        <rFont val="Times New Roman"/>
        <charset val="134"/>
      </rPr>
      <t>DE</t>
    </r>
    <r>
      <rPr>
        <sz val="11"/>
        <color theme="1"/>
        <rFont val="Times New Roman"/>
        <charset val="134"/>
      </rPr>
      <t>FG</t>
    </r>
  </si>
  <si>
    <r>
      <rPr>
        <sz val="12"/>
        <color theme="1"/>
        <rFont val="黑体"/>
        <charset val="134"/>
      </rPr>
      <t>黑色字体：</t>
    </r>
    <r>
      <rPr>
        <sz val="12"/>
        <color theme="1"/>
        <rFont val="Times New Roman"/>
        <charset val="134"/>
      </rPr>
      <t xml:space="preserve">1D6 </t>
    </r>
    <r>
      <rPr>
        <sz val="12"/>
        <color theme="1"/>
        <rFont val="宋体"/>
        <charset val="134"/>
      </rPr>
      <t>＜</t>
    </r>
    <r>
      <rPr>
        <sz val="12"/>
        <color theme="1"/>
        <rFont val="Times New Roman"/>
        <charset val="134"/>
      </rPr>
      <t xml:space="preserve"> 6</t>
    </r>
  </si>
  <si>
    <r>
      <rPr>
        <sz val="12"/>
        <color rgb="FF0070C0"/>
        <rFont val="黑体"/>
        <charset val="134"/>
      </rPr>
      <t>蓝色字体</t>
    </r>
    <r>
      <rPr>
        <sz val="12"/>
        <color theme="1"/>
        <rFont val="黑体"/>
        <charset val="134"/>
      </rPr>
      <t>：</t>
    </r>
    <r>
      <rPr>
        <sz val="12"/>
        <color theme="1"/>
        <rFont val="Times New Roman"/>
        <charset val="134"/>
      </rPr>
      <t xml:space="preserve">1D6 </t>
    </r>
    <r>
      <rPr>
        <sz val="12"/>
        <color theme="1"/>
        <rFont val="宋体"/>
        <charset val="134"/>
      </rPr>
      <t>＜</t>
    </r>
    <r>
      <rPr>
        <sz val="12"/>
        <color theme="1"/>
        <rFont val="Times New Roman"/>
        <charset val="134"/>
      </rPr>
      <t xml:space="preserve"> 5</t>
    </r>
  </si>
  <si>
    <r>
      <rPr>
        <sz val="12"/>
        <color rgb="FFC00000"/>
        <rFont val="黑体"/>
        <charset val="134"/>
      </rPr>
      <t>红色字体</t>
    </r>
    <r>
      <rPr>
        <sz val="12"/>
        <color theme="1"/>
        <rFont val="黑体"/>
        <charset val="134"/>
      </rPr>
      <t>：</t>
    </r>
    <r>
      <rPr>
        <sz val="12"/>
        <color theme="1"/>
        <rFont val="Times New Roman"/>
        <charset val="134"/>
      </rPr>
      <t xml:space="preserve">1D6 </t>
    </r>
    <r>
      <rPr>
        <sz val="12"/>
        <color theme="1"/>
        <rFont val="宋体"/>
        <charset val="134"/>
      </rPr>
      <t>＜</t>
    </r>
    <r>
      <rPr>
        <sz val="12"/>
        <color theme="1"/>
        <rFont val="Times New Roman"/>
        <charset val="134"/>
      </rPr>
      <t xml:space="preserve"> 3</t>
    </r>
  </si>
  <si>
    <t>开火船只</t>
  </si>
  <si>
    <t>命中船只</t>
  </si>
  <si>
    <t>限制</t>
  </si>
  <si>
    <t>Destroyer</t>
  </si>
  <si>
    <t>Light Cruiser</t>
  </si>
  <si>
    <t>Armoured Cruiser</t>
  </si>
  <si>
    <t>Capital Ship</t>
  </si>
  <si>
    <t>FP/2</t>
  </si>
  <si>
    <t>FP/3</t>
  </si>
  <si>
    <t>FP/4</t>
  </si>
  <si>
    <t>集火&lt;=4</t>
  </si>
  <si>
    <t>集火&lt;=3</t>
  </si>
  <si>
    <t>集火&lt;=2</t>
  </si>
  <si>
    <t>距离</t>
  </si>
  <si>
    <t>结算后乘数</t>
  </si>
  <si>
    <t>1D6</t>
  </si>
  <si>
    <t>初始乘数</t>
  </si>
  <si>
    <t>0 - 4000</t>
  </si>
  <si>
    <t>4001 - 7500</t>
  </si>
  <si>
    <t>7501 - 10000</t>
  </si>
  <si>
    <t>10001 - 15000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</si>
</sst>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1"/>
      <color theme="1"/>
      <name val="黑体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1"/>
      <name val="等线"/>
      <charset val="134"/>
    </font>
    <font>
      <sz val="11"/>
      <color rgb="FFC00000"/>
      <name val="Times New Roman"/>
      <charset val="134"/>
    </font>
    <font>
      <sz val="11"/>
      <color rgb="FF0070C0"/>
      <name val="Times New Roman"/>
      <charset val="134"/>
    </font>
    <font>
      <sz val="12"/>
      <name val="黑体"/>
      <charset val="134"/>
    </font>
    <font>
      <sz val="11"/>
      <name val="Times New Roman"/>
      <charset val="134"/>
    </font>
    <font>
      <sz val="12"/>
      <color theme="1"/>
      <name val="宋体"/>
      <charset val="134"/>
      <scheme val="minor"/>
    </font>
    <font>
      <sz val="12"/>
      <color rgb="FF0070C0"/>
      <name val="黑体"/>
      <charset val="134"/>
    </font>
    <font>
      <sz val="12"/>
      <color rgb="FFC00000"/>
      <name val="黑体"/>
      <charset val="134"/>
    </font>
    <font>
      <b/>
      <sz val="14"/>
      <color theme="0"/>
      <name val="黑体"/>
      <charset val="134"/>
    </font>
    <font>
      <sz val="14"/>
      <color theme="1"/>
      <name val="黑体"/>
      <charset val="134"/>
    </font>
    <font>
      <b/>
      <sz val="16"/>
      <color theme="1"/>
      <name val="等线"/>
      <charset val="134"/>
    </font>
    <font>
      <vertAlign val="subscript"/>
      <sz val="14"/>
      <color theme="0"/>
      <name val="黑体"/>
      <charset val="134"/>
    </font>
    <font>
      <sz val="14"/>
      <color theme="0"/>
      <name val="黑体"/>
      <charset val="134"/>
    </font>
    <font>
      <sz val="16"/>
      <color theme="1"/>
      <name val="黑体"/>
      <charset val="134"/>
    </font>
    <font>
      <sz val="18"/>
      <color theme="1"/>
      <name val="黑体"/>
      <charset val="134"/>
    </font>
    <font>
      <b/>
      <sz val="20"/>
      <color theme="1"/>
      <name val="等线"/>
      <charset val="134"/>
    </font>
    <font>
      <sz val="12"/>
      <color rgb="FF000000"/>
      <name val="黑体"/>
      <charset val="134"/>
    </font>
    <font>
      <b/>
      <sz val="12"/>
      <color rgb="FF000000"/>
      <name val="等线"/>
      <charset val="134"/>
    </font>
    <font>
      <b/>
      <sz val="12"/>
      <color theme="1"/>
      <name val="等线"/>
      <charset val="134"/>
    </font>
    <font>
      <sz val="11"/>
      <color theme="1"/>
      <name val="宋体"/>
      <charset val="134"/>
    </font>
    <font>
      <sz val="12"/>
      <color theme="1"/>
      <name val="等线"/>
      <charset val="134"/>
    </font>
    <font>
      <b/>
      <sz val="16"/>
      <color theme="1"/>
      <name val="黑体"/>
      <charset val="134"/>
    </font>
    <font>
      <b/>
      <sz val="14"/>
      <color theme="1"/>
      <name val="等线"/>
      <charset val="134"/>
    </font>
    <font>
      <sz val="12"/>
      <name val="Times New Roman"/>
      <charset val="134"/>
    </font>
    <font>
      <b/>
      <sz val="12"/>
      <color theme="0"/>
      <name val="等线"/>
      <charset val="134"/>
    </font>
    <font>
      <b/>
      <sz val="12"/>
      <name val="等线"/>
      <charset val="134"/>
    </font>
    <font>
      <sz val="12"/>
      <color theme="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vertAlign val="superscript"/>
      <sz val="14"/>
      <color theme="0"/>
      <name val="黑体"/>
      <charset val="134"/>
    </font>
  </fonts>
  <fills count="59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4874CB"/>
        <bgColor theme="4"/>
      </patternFill>
    </fill>
    <fill>
      <patternFill patternType="solid">
        <fgColor rgb="FF91AADF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4"/>
        <bgColor theme="4" tint="0.799981688894314"/>
      </patternFill>
    </fill>
    <fill>
      <patternFill patternType="solid">
        <fgColor theme="0" tint="-0.05"/>
        <bgColor theme="4" tint="0.799981688894314"/>
      </patternFill>
    </fill>
    <fill>
      <patternFill patternType="solid">
        <fgColor theme="4" tint="0.4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91D32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4"/>
      </top>
      <bottom style="thin">
        <color theme="4"/>
      </bottom>
      <diagonal/>
    </border>
    <border>
      <left/>
      <right style="thin">
        <color auto="1"/>
      </right>
      <top style="thin">
        <color theme="4"/>
      </top>
      <bottom style="thin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theme="4"/>
      </top>
      <bottom/>
      <diagonal/>
    </border>
    <border>
      <left/>
      <right style="thin">
        <color auto="1"/>
      </right>
      <top style="thin">
        <color theme="4"/>
      </top>
      <bottom/>
      <diagonal/>
    </border>
    <border>
      <left style="thin">
        <color auto="1"/>
      </left>
      <right/>
      <top/>
      <bottom style="thin">
        <color theme="4"/>
      </bottom>
      <diagonal/>
    </border>
    <border>
      <left/>
      <right style="thin">
        <color auto="1"/>
      </right>
      <top/>
      <bottom style="thin">
        <color theme="4"/>
      </bottom>
      <diagonal/>
    </border>
    <border>
      <left style="thin">
        <color auto="1"/>
      </left>
      <right/>
      <top style="double">
        <color theme="4"/>
      </top>
      <bottom style="thin">
        <color auto="1"/>
      </bottom>
      <diagonal/>
    </border>
    <border>
      <left style="thin">
        <color theme="4"/>
      </left>
      <right style="thin">
        <color auto="1"/>
      </right>
      <top style="double">
        <color theme="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theme="4" tint="0.399975585192419"/>
      </bottom>
      <diagonal style="thin">
        <color auto="1"/>
      </diagonal>
    </border>
    <border>
      <left/>
      <right/>
      <top style="thin">
        <color auto="1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4" tint="0.399975585192419"/>
      </bottom>
      <diagonal/>
    </border>
    <border>
      <left/>
      <right style="thin">
        <color auto="1"/>
      </right>
      <top style="thin">
        <color theme="4"/>
      </top>
      <bottom style="thin">
        <color theme="4" tint="0.399975585192419"/>
      </bottom>
      <diagonal/>
    </border>
    <border>
      <left/>
      <right style="thin">
        <color auto="1"/>
      </right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auto="1"/>
      </right>
      <top style="thin">
        <color theme="4" tint="0.399975585192419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8" borderId="3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4" applyNumberFormat="0" applyFill="0" applyAlignment="0" applyProtection="0">
      <alignment vertical="center"/>
    </xf>
    <xf numFmtId="0" fontId="38" fillId="0" borderId="34" applyNumberFormat="0" applyFill="0" applyAlignment="0" applyProtection="0">
      <alignment vertical="center"/>
    </xf>
    <xf numFmtId="0" fontId="39" fillId="0" borderId="3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9" borderId="36" applyNumberFormat="0" applyAlignment="0" applyProtection="0">
      <alignment vertical="center"/>
    </xf>
    <xf numFmtId="0" fontId="41" fillId="30" borderId="37" applyNumberFormat="0" applyAlignment="0" applyProtection="0">
      <alignment vertical="center"/>
    </xf>
    <xf numFmtId="0" fontId="42" fillId="30" borderId="36" applyNumberFormat="0" applyAlignment="0" applyProtection="0">
      <alignment vertical="center"/>
    </xf>
    <xf numFmtId="0" fontId="43" fillId="31" borderId="38" applyNumberFormat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50" fillId="52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5" borderId="0" applyNumberFormat="0" applyBorder="0" applyAlignment="0" applyProtection="0">
      <alignment vertical="center"/>
    </xf>
    <xf numFmtId="0" fontId="50" fillId="56" borderId="0" applyNumberFormat="0" applyBorder="0" applyAlignment="0" applyProtection="0">
      <alignment vertical="center"/>
    </xf>
    <xf numFmtId="0" fontId="50" fillId="57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3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49" fontId="15" fillId="0" borderId="7" xfId="0" applyNumberFormat="1" applyFont="1" applyFill="1" applyBorder="1" applyAlignment="1">
      <alignment horizontal="center" vertical="center"/>
    </xf>
    <xf numFmtId="9" fontId="15" fillId="0" borderId="7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 wrapText="1"/>
    </xf>
    <xf numFmtId="49" fontId="15" fillId="0" borderId="11" xfId="0" applyNumberFormat="1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49" fontId="15" fillId="0" borderId="13" xfId="0" applyNumberFormat="1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5" borderId="18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/>
    </xf>
    <xf numFmtId="0" fontId="17" fillId="6" borderId="20" xfId="0" applyFont="1" applyFill="1" applyBorder="1" applyAlignment="1">
      <alignment horizontal="center" vertical="center"/>
    </xf>
    <xf numFmtId="9" fontId="18" fillId="7" borderId="21" xfId="0" applyNumberFormat="1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9" fontId="18" fillId="9" borderId="21" xfId="0" applyNumberFormat="1" applyFont="1" applyFill="1" applyBorder="1" applyAlignment="1">
      <alignment horizontal="center" vertical="center"/>
    </xf>
    <xf numFmtId="0" fontId="15" fillId="10" borderId="22" xfId="0" applyFont="1" applyFill="1" applyBorder="1" applyAlignment="1">
      <alignment horizontal="center" vertical="center"/>
    </xf>
    <xf numFmtId="9" fontId="18" fillId="11" borderId="21" xfId="0" applyNumberFormat="1" applyFont="1" applyFill="1" applyBorder="1" applyAlignment="1">
      <alignment horizontal="center" vertical="center"/>
    </xf>
    <xf numFmtId="9" fontId="18" fillId="11" borderId="23" xfId="0" applyNumberFormat="1" applyFont="1" applyFill="1" applyBorder="1" applyAlignment="1">
      <alignment horizontal="center" vertical="center"/>
    </xf>
    <xf numFmtId="0" fontId="15" fillId="8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0" fontId="15" fillId="10" borderId="27" xfId="0" applyFont="1" applyFill="1" applyBorder="1" applyAlignment="1">
      <alignment horizontal="center" vertical="center"/>
    </xf>
    <xf numFmtId="0" fontId="15" fillId="8" borderId="28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0" fontId="19" fillId="12" borderId="5" xfId="0" applyFont="1" applyFill="1" applyBorder="1" applyAlignment="1">
      <alignment horizontal="center" vertical="center"/>
    </xf>
    <xf numFmtId="0" fontId="19" fillId="12" borderId="8" xfId="0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center" vertical="center"/>
    </xf>
    <xf numFmtId="49" fontId="15" fillId="13" borderId="8" xfId="0" applyNumberFormat="1" applyFont="1" applyFill="1" applyBorder="1" applyAlignment="1">
      <alignment horizontal="center" vertical="center"/>
    </xf>
    <xf numFmtId="49" fontId="20" fillId="4" borderId="9" xfId="0" applyNumberFormat="1" applyFont="1" applyFill="1" applyBorder="1" applyAlignment="1">
      <alignment horizontal="center" vertical="center"/>
    </xf>
    <xf numFmtId="49" fontId="15" fillId="13" borderId="29" xfId="0" applyNumberFormat="1" applyFont="1" applyFill="1" applyBorder="1" applyAlignment="1">
      <alignment horizontal="center" vertical="center"/>
    </xf>
    <xf numFmtId="49" fontId="20" fillId="4" borderId="30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9" fontId="4" fillId="14" borderId="8" xfId="0" applyNumberFormat="1" applyFont="1" applyFill="1" applyBorder="1" applyAlignment="1">
      <alignment horizontal="center" vertical="center"/>
    </xf>
    <xf numFmtId="49" fontId="4" fillId="14" borderId="0" xfId="0" applyNumberFormat="1" applyFont="1" applyFill="1" applyAlignment="1">
      <alignment horizontal="center" vertical="center"/>
    </xf>
    <xf numFmtId="49" fontId="4" fillId="14" borderId="9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0" fontId="4" fillId="4" borderId="4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21" fillId="4" borderId="4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3" fillId="15" borderId="5" xfId="0" applyFont="1" applyFill="1" applyBorder="1" applyAlignment="1">
      <alignment horizontal="center" vertical="center"/>
    </xf>
    <xf numFmtId="0" fontId="4" fillId="4" borderId="8" xfId="0" applyFont="1" applyFill="1" applyBorder="1">
      <alignment vertical="center"/>
    </xf>
    <xf numFmtId="0" fontId="4" fillId="4" borderId="0" xfId="0" applyFont="1" applyFill="1">
      <alignment vertical="center"/>
    </xf>
    <xf numFmtId="0" fontId="21" fillId="4" borderId="8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3" fillId="15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4" borderId="29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23" fillId="4" borderId="0" xfId="0" applyFont="1" applyFill="1" applyBorder="1" applyAlignment="1">
      <alignment horizontal="center" vertical="center"/>
    </xf>
    <xf numFmtId="0" fontId="4" fillId="4" borderId="31" xfId="0" applyFont="1" applyFill="1" applyBorder="1">
      <alignment vertical="center"/>
    </xf>
    <xf numFmtId="49" fontId="4" fillId="14" borderId="16" xfId="0" applyNumberFormat="1" applyFont="1" applyFill="1" applyBorder="1" applyAlignment="1">
      <alignment horizontal="center" vertical="center"/>
    </xf>
    <xf numFmtId="49" fontId="4" fillId="14" borderId="31" xfId="0" applyNumberFormat="1" applyFont="1" applyFill="1" applyBorder="1" applyAlignment="1">
      <alignment horizontal="center" vertical="center"/>
    </xf>
    <xf numFmtId="49" fontId="4" fillId="14" borderId="17" xfId="0" applyNumberFormat="1" applyFont="1" applyFill="1" applyBorder="1" applyAlignment="1">
      <alignment horizontal="center" vertical="center"/>
    </xf>
    <xf numFmtId="0" fontId="4" fillId="2" borderId="31" xfId="0" applyNumberFormat="1" applyFont="1" applyFill="1" applyBorder="1" applyAlignment="1">
      <alignment horizontal="center" vertical="center"/>
    </xf>
    <xf numFmtId="0" fontId="4" fillId="2" borderId="17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4" borderId="32" xfId="0" applyFont="1" applyFill="1" applyBorder="1">
      <alignment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horizontal="center" vertical="center"/>
    </xf>
    <xf numFmtId="0" fontId="23" fillId="15" borderId="3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>
      <alignment vertical="center"/>
    </xf>
    <xf numFmtId="0" fontId="2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Fill="1" applyBorder="1">
      <alignment vertical="center"/>
    </xf>
    <xf numFmtId="0" fontId="26" fillId="16" borderId="4" xfId="0" applyFont="1" applyFill="1" applyBorder="1" applyAlignment="1">
      <alignment horizontal="center" vertical="center"/>
    </xf>
    <xf numFmtId="0" fontId="14" fillId="17" borderId="3" xfId="0" applyFont="1" applyFill="1" applyBorder="1" applyAlignment="1">
      <alignment horizontal="center" vertical="center"/>
    </xf>
    <xf numFmtId="49" fontId="27" fillId="18" borderId="8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7" fillId="18" borderId="29" xfId="0" applyNumberFormat="1" applyFont="1" applyFill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6" fillId="19" borderId="4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49" fontId="27" fillId="14" borderId="8" xfId="0" applyNumberFormat="1" applyFont="1" applyFill="1" applyBorder="1" applyAlignment="1">
      <alignment horizontal="center" vertical="center"/>
    </xf>
    <xf numFmtId="49" fontId="27" fillId="14" borderId="29" xfId="0" applyNumberFormat="1" applyFont="1" applyFill="1" applyBorder="1" applyAlignment="1">
      <alignment horizontal="center" vertical="center"/>
    </xf>
    <xf numFmtId="0" fontId="26" fillId="20" borderId="4" xfId="0" applyFont="1" applyFill="1" applyBorder="1" applyAlignment="1">
      <alignment horizontal="center" vertical="center"/>
    </xf>
    <xf numFmtId="0" fontId="14" fillId="20" borderId="3" xfId="0" applyFont="1" applyFill="1" applyBorder="1" applyAlignment="1">
      <alignment horizontal="center" vertical="center"/>
    </xf>
    <xf numFmtId="49" fontId="27" fillId="21" borderId="8" xfId="0" applyNumberFormat="1" applyFont="1" applyFill="1" applyBorder="1" applyAlignment="1">
      <alignment horizontal="center" vertical="center"/>
    </xf>
    <xf numFmtId="49" fontId="27" fillId="21" borderId="29" xfId="0" applyNumberFormat="1" applyFont="1" applyFill="1" applyBorder="1" applyAlignment="1">
      <alignment horizontal="center" vertical="center"/>
    </xf>
    <xf numFmtId="0" fontId="26" fillId="22" borderId="4" xfId="0" applyFont="1" applyFill="1" applyBorder="1" applyAlignment="1">
      <alignment horizontal="center" vertical="center"/>
    </xf>
    <xf numFmtId="0" fontId="14" fillId="22" borderId="3" xfId="0" applyFont="1" applyFill="1" applyBorder="1" applyAlignment="1">
      <alignment horizontal="center" vertical="center"/>
    </xf>
    <xf numFmtId="49" fontId="27" fillId="23" borderId="8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49" fontId="27" fillId="23" borderId="29" xfId="0" applyNumberFormat="1" applyFont="1" applyFill="1" applyBorder="1" applyAlignment="1">
      <alignment horizontal="center" vertical="center"/>
    </xf>
    <xf numFmtId="0" fontId="4" fillId="17" borderId="3" xfId="0" applyFont="1" applyFill="1" applyBorder="1" applyAlignment="1">
      <alignment horizontal="center" vertical="center" wrapText="1"/>
    </xf>
    <xf numFmtId="0" fontId="28" fillId="24" borderId="4" xfId="0" applyFont="1" applyFill="1" applyBorder="1" applyAlignment="1">
      <alignment horizontal="center" vertical="center"/>
    </xf>
    <xf numFmtId="0" fontId="28" fillId="24" borderId="3" xfId="0" applyFont="1" applyFill="1" applyBorder="1" applyAlignment="1">
      <alignment horizontal="center" vertical="center"/>
    </xf>
    <xf numFmtId="0" fontId="4" fillId="17" borderId="0" xfId="0" applyNumberFormat="1" applyFont="1" applyFill="1" applyBorder="1" applyAlignment="1">
      <alignment horizontal="center" vertical="center"/>
    </xf>
    <xf numFmtId="0" fontId="28" fillId="24" borderId="8" xfId="0" applyNumberFormat="1" applyFont="1" applyFill="1" applyBorder="1" applyAlignment="1">
      <alignment horizontal="center" vertical="center"/>
    </xf>
    <xf numFmtId="0" fontId="28" fillId="24" borderId="0" xfId="0" applyNumberFormat="1" applyFont="1" applyFill="1" applyBorder="1" applyAlignment="1">
      <alignment horizontal="center" vertical="center"/>
    </xf>
    <xf numFmtId="0" fontId="28" fillId="24" borderId="0" xfId="0" applyNumberFormat="1" applyFont="1" applyFill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9" fillId="25" borderId="4" xfId="0" applyFont="1" applyFill="1" applyBorder="1" applyAlignment="1">
      <alignment horizontal="center" vertical="center"/>
    </xf>
    <xf numFmtId="0" fontId="29" fillId="20" borderId="3" xfId="0" applyFont="1" applyFill="1" applyBorder="1" applyAlignment="1">
      <alignment horizontal="center" vertical="center"/>
    </xf>
    <xf numFmtId="0" fontId="30" fillId="26" borderId="3" xfId="0" applyFont="1" applyFill="1" applyBorder="1" applyAlignment="1">
      <alignment horizontal="center" vertical="center"/>
    </xf>
    <xf numFmtId="0" fontId="23" fillId="15" borderId="3" xfId="0" applyFont="1" applyFill="1" applyBorder="1" applyAlignment="1">
      <alignment horizontal="center" vertical="center"/>
    </xf>
    <xf numFmtId="0" fontId="29" fillId="27" borderId="3" xfId="0" applyFont="1" applyFill="1" applyBorder="1" applyAlignment="1">
      <alignment horizontal="center" vertical="center"/>
    </xf>
    <xf numFmtId="0" fontId="29" fillId="25" borderId="8" xfId="0" applyFont="1" applyFill="1" applyBorder="1" applyAlignment="1">
      <alignment horizontal="center" vertical="center"/>
    </xf>
    <xf numFmtId="0" fontId="29" fillId="20" borderId="0" xfId="0" applyFont="1" applyFill="1" applyBorder="1" applyAlignment="1">
      <alignment horizontal="center" vertical="center"/>
    </xf>
    <xf numFmtId="0" fontId="30" fillId="26" borderId="0" xfId="0" applyFont="1" applyFill="1" applyBorder="1" applyAlignment="1">
      <alignment horizontal="center" vertical="center"/>
    </xf>
    <xf numFmtId="0" fontId="23" fillId="15" borderId="0" xfId="0" applyFont="1" applyFill="1" applyBorder="1" applyAlignment="1">
      <alignment horizontal="center" vertical="center"/>
    </xf>
    <xf numFmtId="0" fontId="29" fillId="27" borderId="0" xfId="0" applyFont="1" applyFill="1" applyBorder="1" applyAlignment="1">
      <alignment horizontal="center" vertical="center"/>
    </xf>
    <xf numFmtId="0" fontId="29" fillId="27" borderId="8" xfId="0" applyFont="1" applyFill="1" applyBorder="1" applyAlignment="1">
      <alignment horizontal="center" vertical="center"/>
    </xf>
    <xf numFmtId="0" fontId="29" fillId="25" borderId="0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4" fillId="17" borderId="31" xfId="0" applyNumberFormat="1" applyFont="1" applyFill="1" applyBorder="1" applyAlignment="1">
      <alignment horizontal="center" vertical="center"/>
    </xf>
    <xf numFmtId="0" fontId="28" fillId="24" borderId="16" xfId="0" applyNumberFormat="1" applyFont="1" applyFill="1" applyBorder="1" applyAlignment="1">
      <alignment horizontal="center" vertical="center"/>
    </xf>
    <xf numFmtId="0" fontId="28" fillId="24" borderId="31" xfId="0" applyNumberFormat="1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9" fillId="27" borderId="32" xfId="0" applyFont="1" applyFill="1" applyBorder="1" applyAlignment="1">
      <alignment horizontal="center" vertical="center"/>
    </xf>
    <xf numFmtId="0" fontId="29" fillId="25" borderId="32" xfId="0" applyFont="1" applyFill="1" applyBorder="1" applyAlignment="1">
      <alignment horizontal="center" vertical="center"/>
    </xf>
    <xf numFmtId="0" fontId="29" fillId="20" borderId="32" xfId="0" applyFont="1" applyFill="1" applyBorder="1" applyAlignment="1">
      <alignment horizontal="center" vertical="center"/>
    </xf>
    <xf numFmtId="0" fontId="30" fillId="26" borderId="32" xfId="0" applyFont="1" applyFill="1" applyBorder="1" applyAlignment="1">
      <alignment horizontal="center" vertical="center"/>
    </xf>
    <xf numFmtId="0" fontId="1" fillId="22" borderId="16" xfId="0" applyFont="1" applyFill="1" applyBorder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25" borderId="16" xfId="0" applyFont="1" applyFill="1" applyBorder="1">
      <alignment vertical="center"/>
    </xf>
    <xf numFmtId="0" fontId="1" fillId="20" borderId="16" xfId="0" applyFont="1" applyFill="1" applyBorder="1">
      <alignment vertical="center"/>
    </xf>
    <xf numFmtId="0" fontId="1" fillId="19" borderId="16" xfId="0" applyFont="1" applyFill="1" applyBorder="1">
      <alignment vertical="center"/>
    </xf>
    <xf numFmtId="0" fontId="1" fillId="16" borderId="16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29" fillId="15" borderId="16" xfId="0" applyFont="1" applyFill="1" applyBorder="1" applyAlignment="1">
      <alignment horizontal="center" vertical="center"/>
    </xf>
    <xf numFmtId="0" fontId="23" fillId="0" borderId="31" xfId="0" applyFont="1" applyFill="1" applyBorder="1" applyAlignment="1">
      <alignment horizontal="center" vertical="center"/>
    </xf>
    <xf numFmtId="0" fontId="29" fillId="0" borderId="31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9" fillId="25" borderId="3" xfId="0" applyFont="1" applyFill="1" applyBorder="1" applyAlignment="1">
      <alignment horizontal="center" vertical="center"/>
    </xf>
    <xf numFmtId="0" fontId="23" fillId="15" borderId="32" xfId="0" applyFont="1" applyFill="1" applyBorder="1" applyAlignment="1">
      <alignment horizontal="center" vertical="center"/>
    </xf>
    <xf numFmtId="0" fontId="28" fillId="24" borderId="5" xfId="0" applyFont="1" applyFill="1" applyBorder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28" fillId="24" borderId="9" xfId="0" applyNumberFormat="1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49" fontId="27" fillId="0" borderId="0" xfId="0" applyNumberFormat="1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23" fillId="4" borderId="9" xfId="0" applyFont="1" applyFill="1" applyBorder="1" applyAlignment="1">
      <alignment horizontal="center" vertical="center"/>
    </xf>
    <xf numFmtId="0" fontId="28" fillId="24" borderId="17" xfId="0" applyNumberFormat="1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25" fillId="0" borderId="0" xfId="0" applyFont="1" applyBorder="1">
      <alignment vertical="center"/>
    </xf>
    <xf numFmtId="0" fontId="23" fillId="0" borderId="17" xfId="0" applyFont="1" applyFill="1" applyBorder="1" applyAlignment="1">
      <alignment horizontal="center" vertical="center"/>
    </xf>
    <xf numFmtId="0" fontId="14" fillId="17" borderId="5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4" fillId="19" borderId="5" xfId="0" applyFont="1" applyFill="1" applyBorder="1" applyAlignment="1">
      <alignment horizontal="center" vertical="center"/>
    </xf>
    <xf numFmtId="0" fontId="14" fillId="20" borderId="5" xfId="0" applyFont="1" applyFill="1" applyBorder="1" applyAlignment="1">
      <alignment horizontal="center" vertical="center"/>
    </xf>
    <xf numFmtId="0" fontId="14" fillId="22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1AADF"/>
      <color rgb="00F4B7BE"/>
      <color rgb="004874CB"/>
      <color rgb="00FEE796"/>
      <color rgb="00FFC000"/>
      <color rgb="00C91D32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61"/>
  <sheetViews>
    <sheetView workbookViewId="0">
      <selection activeCell="AC20" sqref="AC20"/>
    </sheetView>
  </sheetViews>
  <sheetFormatPr defaultColWidth="9" defaultRowHeight="20" customHeight="1"/>
  <cols>
    <col min="1" max="1" width="26" style="83" customWidth="1"/>
    <col min="2" max="2" width="18.875" style="83" customWidth="1"/>
    <col min="3" max="6" width="6.375" style="83" customWidth="1"/>
    <col min="7" max="26" width="3.33333333333333" style="83" customWidth="1"/>
    <col min="27" max="27" width="9" style="83"/>
    <col min="28" max="28" width="10.625" style="83" customWidth="1"/>
    <col min="29" max="29" width="15.625" style="83" customWidth="1"/>
    <col min="30" max="30" width="9" style="83"/>
    <col min="31" max="31" width="10.625" style="83" customWidth="1"/>
    <col min="32" max="32" width="15.625" style="83" customWidth="1"/>
    <col min="33" max="16384" width="9" style="83"/>
  </cols>
  <sheetData>
    <row r="1" customHeight="1" spans="1:32">
      <c r="A1" s="84" t="s">
        <v>0</v>
      </c>
      <c r="B1" s="85" t="s">
        <v>1</v>
      </c>
      <c r="C1" s="86" t="s">
        <v>2</v>
      </c>
      <c r="D1" s="87"/>
      <c r="E1" s="87"/>
      <c r="F1" s="88"/>
      <c r="G1" s="89" t="s">
        <v>3</v>
      </c>
      <c r="H1" s="90"/>
      <c r="I1" s="157" t="s">
        <v>4</v>
      </c>
      <c r="J1" s="158" t="s">
        <v>5</v>
      </c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203"/>
      <c r="AB1" s="204"/>
      <c r="AC1" s="204"/>
      <c r="AD1" s="204"/>
      <c r="AE1" s="204"/>
      <c r="AF1" s="204"/>
    </row>
    <row r="2" customHeight="1" spans="1:32">
      <c r="A2" s="91"/>
      <c r="B2" s="92"/>
      <c r="C2" s="93" t="s">
        <v>6</v>
      </c>
      <c r="D2" s="94" t="s">
        <v>7</v>
      </c>
      <c r="E2" s="94" t="s">
        <v>8</v>
      </c>
      <c r="F2" s="95" t="s">
        <v>9</v>
      </c>
      <c r="G2" s="96">
        <v>1</v>
      </c>
      <c r="H2" s="97">
        <v>2</v>
      </c>
      <c r="I2" s="160">
        <v>3</v>
      </c>
      <c r="J2" s="161">
        <v>4</v>
      </c>
      <c r="K2" s="162">
        <v>5</v>
      </c>
      <c r="L2" s="163">
        <v>6</v>
      </c>
      <c r="M2" s="163">
        <v>7</v>
      </c>
      <c r="N2" s="163">
        <v>8</v>
      </c>
      <c r="O2" s="163">
        <v>9</v>
      </c>
      <c r="P2" s="163">
        <v>10</v>
      </c>
      <c r="Q2" s="163">
        <v>11</v>
      </c>
      <c r="R2" s="163">
        <v>12</v>
      </c>
      <c r="S2" s="163">
        <v>13</v>
      </c>
      <c r="T2" s="163">
        <v>14</v>
      </c>
      <c r="U2" s="163">
        <v>15</v>
      </c>
      <c r="V2" s="163">
        <v>16</v>
      </c>
      <c r="W2" s="163">
        <v>17</v>
      </c>
      <c r="X2" s="163">
        <v>18</v>
      </c>
      <c r="Y2" s="163">
        <v>19</v>
      </c>
      <c r="Z2" s="205">
        <v>20</v>
      </c>
      <c r="AB2" s="204"/>
      <c r="AC2" s="204"/>
      <c r="AD2" s="204"/>
      <c r="AE2" s="204"/>
      <c r="AF2" s="204"/>
    </row>
    <row r="3" customHeight="1" spans="1:32">
      <c r="A3" s="98" t="s">
        <v>10</v>
      </c>
      <c r="B3" s="99" t="s">
        <v>11</v>
      </c>
      <c r="C3" s="100">
        <v>10500</v>
      </c>
      <c r="D3" s="101">
        <v>15000</v>
      </c>
      <c r="E3" s="101">
        <v>18000</v>
      </c>
      <c r="F3" s="102">
        <v>18500</v>
      </c>
      <c r="G3" s="103">
        <v>1</v>
      </c>
      <c r="H3" s="104">
        <v>2</v>
      </c>
      <c r="I3" s="164"/>
      <c r="J3" s="165">
        <v>6</v>
      </c>
      <c r="K3" s="166"/>
      <c r="L3" s="167">
        <v>3</v>
      </c>
      <c r="M3" s="164">
        <v>5</v>
      </c>
      <c r="N3" s="164">
        <v>5</v>
      </c>
      <c r="O3" s="168">
        <v>4</v>
      </c>
      <c r="P3" s="169">
        <v>5</v>
      </c>
      <c r="Q3" s="201">
        <v>5</v>
      </c>
      <c r="R3" s="166"/>
      <c r="S3" s="167">
        <v>2</v>
      </c>
      <c r="T3" s="164">
        <v>3</v>
      </c>
      <c r="U3" s="164">
        <v>2</v>
      </c>
      <c r="V3" s="164" t="s">
        <v>12</v>
      </c>
      <c r="W3" s="164" t="s">
        <v>12</v>
      </c>
      <c r="X3" s="164" t="s">
        <v>12</v>
      </c>
      <c r="Y3" s="164" t="s">
        <v>12</v>
      </c>
      <c r="Z3" s="206" t="s">
        <v>12</v>
      </c>
      <c r="AB3" s="207"/>
      <c r="AC3" s="207"/>
      <c r="AD3" s="208"/>
      <c r="AE3" s="207"/>
      <c r="AF3" s="207"/>
    </row>
    <row r="4" customHeight="1" spans="1:32">
      <c r="A4" s="105" t="s">
        <v>13</v>
      </c>
      <c r="B4" s="106" t="s">
        <v>14</v>
      </c>
      <c r="C4" s="107">
        <v>10500</v>
      </c>
      <c r="D4" s="108">
        <v>15000</v>
      </c>
      <c r="E4" s="108">
        <v>18000</v>
      </c>
      <c r="F4" s="109">
        <v>18500</v>
      </c>
      <c r="G4" s="110">
        <v>1</v>
      </c>
      <c r="H4" s="111">
        <v>2</v>
      </c>
      <c r="I4" s="115"/>
      <c r="J4" s="170">
        <v>6</v>
      </c>
      <c r="K4" s="171"/>
      <c r="L4" s="172">
        <v>3</v>
      </c>
      <c r="M4" s="115">
        <v>5</v>
      </c>
      <c r="N4" s="115">
        <v>5</v>
      </c>
      <c r="O4" s="173">
        <v>4</v>
      </c>
      <c r="P4" s="174">
        <v>5</v>
      </c>
      <c r="Q4" s="176">
        <v>5</v>
      </c>
      <c r="R4" s="171"/>
      <c r="S4" s="172">
        <v>2</v>
      </c>
      <c r="T4" s="115">
        <v>3</v>
      </c>
      <c r="U4" s="115">
        <v>2</v>
      </c>
      <c r="V4" s="110" t="s">
        <v>12</v>
      </c>
      <c r="W4" s="115" t="s">
        <v>12</v>
      </c>
      <c r="X4" s="115" t="s">
        <v>12</v>
      </c>
      <c r="Y4" s="115" t="s">
        <v>12</v>
      </c>
      <c r="Z4" s="209" t="s">
        <v>12</v>
      </c>
      <c r="AB4" s="207"/>
      <c r="AC4" s="207"/>
      <c r="AD4" s="208"/>
      <c r="AE4" s="207"/>
      <c r="AF4" s="207"/>
    </row>
    <row r="5" customHeight="1" spans="1:32">
      <c r="A5" s="105" t="s">
        <v>15</v>
      </c>
      <c r="B5" s="106" t="s">
        <v>11</v>
      </c>
      <c r="C5" s="107">
        <v>13500</v>
      </c>
      <c r="D5" s="108">
        <v>19500</v>
      </c>
      <c r="E5" s="108">
        <v>21000</v>
      </c>
      <c r="F5" s="112"/>
      <c r="G5" s="110">
        <v>1</v>
      </c>
      <c r="H5" s="111">
        <v>2</v>
      </c>
      <c r="I5" s="115"/>
      <c r="J5" s="170">
        <v>6</v>
      </c>
      <c r="K5" s="171"/>
      <c r="L5" s="172">
        <v>3</v>
      </c>
      <c r="M5" s="115">
        <v>5</v>
      </c>
      <c r="N5" s="115">
        <v>5</v>
      </c>
      <c r="O5" s="173">
        <v>4</v>
      </c>
      <c r="P5" s="174">
        <v>5</v>
      </c>
      <c r="Q5" s="176">
        <v>5</v>
      </c>
      <c r="R5" s="171"/>
      <c r="S5" s="172">
        <v>3</v>
      </c>
      <c r="T5" s="115">
        <v>4</v>
      </c>
      <c r="U5" s="115">
        <v>4</v>
      </c>
      <c r="V5" s="110" t="s">
        <v>12</v>
      </c>
      <c r="W5" s="115" t="s">
        <v>12</v>
      </c>
      <c r="X5" s="115" t="s">
        <v>12</v>
      </c>
      <c r="Y5" s="115" t="s">
        <v>12</v>
      </c>
      <c r="Z5" s="209" t="s">
        <v>12</v>
      </c>
      <c r="AB5" s="207"/>
      <c r="AC5" s="207"/>
      <c r="AD5" s="208"/>
      <c r="AE5" s="207"/>
      <c r="AF5" s="207"/>
    </row>
    <row r="6" customHeight="1" spans="1:32">
      <c r="A6" s="105" t="s">
        <v>16</v>
      </c>
      <c r="B6" s="106" t="s">
        <v>17</v>
      </c>
      <c r="C6" s="107">
        <v>13000</v>
      </c>
      <c r="D6" s="108">
        <v>19500</v>
      </c>
      <c r="E6" s="108">
        <v>23500</v>
      </c>
      <c r="F6" s="112"/>
      <c r="G6" s="110">
        <v>2</v>
      </c>
      <c r="H6" s="111">
        <v>4</v>
      </c>
      <c r="I6" s="115"/>
      <c r="J6" s="175">
        <v>9</v>
      </c>
      <c r="K6" s="176">
        <v>9</v>
      </c>
      <c r="L6" s="171"/>
      <c r="M6" s="172">
        <v>5</v>
      </c>
      <c r="N6" s="115">
        <v>8</v>
      </c>
      <c r="O6" s="115">
        <v>8</v>
      </c>
      <c r="P6" s="173">
        <v>7</v>
      </c>
      <c r="Q6" s="174">
        <v>8</v>
      </c>
      <c r="R6" s="176">
        <v>8</v>
      </c>
      <c r="S6" s="171"/>
      <c r="T6" s="172">
        <v>4</v>
      </c>
      <c r="U6" s="115">
        <v>7</v>
      </c>
      <c r="V6" s="115">
        <v>7</v>
      </c>
      <c r="W6" s="115" t="s">
        <v>12</v>
      </c>
      <c r="X6" s="115" t="s">
        <v>12</v>
      </c>
      <c r="Y6" s="115" t="s">
        <v>12</v>
      </c>
      <c r="Z6" s="209" t="s">
        <v>12</v>
      </c>
      <c r="AB6" s="207"/>
      <c r="AC6" s="207"/>
      <c r="AD6" s="208"/>
      <c r="AE6" s="207"/>
      <c r="AF6" s="207"/>
    </row>
    <row r="7" customHeight="1" spans="1:32">
      <c r="A7" s="105" t="s">
        <v>18</v>
      </c>
      <c r="B7" s="106" t="s">
        <v>19</v>
      </c>
      <c r="C7" s="107">
        <v>13000</v>
      </c>
      <c r="D7" s="108">
        <v>19500</v>
      </c>
      <c r="E7" s="108">
        <v>23500</v>
      </c>
      <c r="F7" s="112"/>
      <c r="G7" s="110">
        <v>2</v>
      </c>
      <c r="H7" s="111">
        <v>4</v>
      </c>
      <c r="I7" s="115"/>
      <c r="J7" s="175">
        <v>9</v>
      </c>
      <c r="K7" s="176">
        <v>9</v>
      </c>
      <c r="L7" s="171"/>
      <c r="M7" s="172">
        <v>5</v>
      </c>
      <c r="N7" s="115">
        <v>8</v>
      </c>
      <c r="O7" s="115">
        <v>8</v>
      </c>
      <c r="P7" s="173">
        <v>7</v>
      </c>
      <c r="Q7" s="174">
        <v>8</v>
      </c>
      <c r="R7" s="176">
        <v>8</v>
      </c>
      <c r="S7" s="171"/>
      <c r="T7" s="172">
        <v>4</v>
      </c>
      <c r="U7" s="115">
        <v>7</v>
      </c>
      <c r="V7" s="115">
        <v>7</v>
      </c>
      <c r="W7" s="115">
        <v>5</v>
      </c>
      <c r="X7" s="115" t="s">
        <v>12</v>
      </c>
      <c r="Y7" s="115" t="s">
        <v>12</v>
      </c>
      <c r="Z7" s="209" t="s">
        <v>12</v>
      </c>
      <c r="AB7" s="207"/>
      <c r="AC7" s="207"/>
      <c r="AD7" s="208"/>
      <c r="AE7" s="207"/>
      <c r="AF7" s="207"/>
    </row>
    <row r="8" customHeight="1" spans="1:32">
      <c r="A8" s="105" t="s">
        <v>20</v>
      </c>
      <c r="B8" s="106" t="s">
        <v>19</v>
      </c>
      <c r="C8" s="107">
        <v>12000</v>
      </c>
      <c r="D8" s="108">
        <v>18500</v>
      </c>
      <c r="E8" s="108">
        <v>24000</v>
      </c>
      <c r="F8" s="109">
        <v>24500</v>
      </c>
      <c r="G8" s="110">
        <v>3</v>
      </c>
      <c r="H8" s="111">
        <v>5</v>
      </c>
      <c r="I8" s="115"/>
      <c r="J8" s="177">
        <v>10</v>
      </c>
      <c r="K8" s="174">
        <v>12</v>
      </c>
      <c r="L8" s="176">
        <v>12</v>
      </c>
      <c r="M8" s="171"/>
      <c r="N8" s="172">
        <v>6</v>
      </c>
      <c r="O8" s="115">
        <v>10</v>
      </c>
      <c r="P8" s="115">
        <v>10</v>
      </c>
      <c r="Q8" s="173">
        <v>10</v>
      </c>
      <c r="R8" s="174">
        <v>11</v>
      </c>
      <c r="S8" s="176">
        <v>11</v>
      </c>
      <c r="T8" s="171"/>
      <c r="U8" s="172">
        <v>6</v>
      </c>
      <c r="V8" s="115">
        <v>9</v>
      </c>
      <c r="W8" s="115">
        <v>9</v>
      </c>
      <c r="X8" s="115" t="s">
        <v>12</v>
      </c>
      <c r="Y8" s="115" t="s">
        <v>12</v>
      </c>
      <c r="Z8" s="209" t="s">
        <v>12</v>
      </c>
      <c r="AB8" s="207"/>
      <c r="AC8" s="207"/>
      <c r="AD8" s="208"/>
      <c r="AE8" s="207"/>
      <c r="AF8" s="207"/>
    </row>
    <row r="9" customHeight="1" spans="1:32">
      <c r="A9" s="113" t="s">
        <v>21</v>
      </c>
      <c r="B9" s="114" t="s">
        <v>22</v>
      </c>
      <c r="C9" s="107">
        <v>12000</v>
      </c>
      <c r="D9" s="108">
        <v>18500</v>
      </c>
      <c r="E9" s="108">
        <v>23500</v>
      </c>
      <c r="F9" s="112"/>
      <c r="G9" s="115">
        <v>3</v>
      </c>
      <c r="H9" s="111">
        <v>5</v>
      </c>
      <c r="I9" s="115"/>
      <c r="J9" s="177">
        <v>10</v>
      </c>
      <c r="K9" s="174">
        <v>12</v>
      </c>
      <c r="L9" s="176">
        <v>12</v>
      </c>
      <c r="M9" s="171"/>
      <c r="N9" s="172">
        <v>6</v>
      </c>
      <c r="O9" s="115">
        <v>10</v>
      </c>
      <c r="P9" s="115">
        <v>10</v>
      </c>
      <c r="Q9" s="173">
        <v>10</v>
      </c>
      <c r="R9" s="174">
        <v>11</v>
      </c>
      <c r="S9" s="176">
        <v>11</v>
      </c>
      <c r="T9" s="171"/>
      <c r="U9" s="172">
        <v>6</v>
      </c>
      <c r="V9" s="115">
        <v>9</v>
      </c>
      <c r="W9" s="115">
        <v>9</v>
      </c>
      <c r="X9" s="115">
        <v>7</v>
      </c>
      <c r="Y9" s="115" t="s">
        <v>12</v>
      </c>
      <c r="Z9" s="209" t="s">
        <v>12</v>
      </c>
      <c r="AB9" s="207"/>
      <c r="AC9" s="207"/>
      <c r="AD9" s="208"/>
      <c r="AE9" s="208"/>
      <c r="AF9" s="208"/>
    </row>
    <row r="10" customHeight="1" spans="1:32">
      <c r="A10" s="105"/>
      <c r="B10" s="116"/>
      <c r="C10" s="117" t="s">
        <v>6</v>
      </c>
      <c r="D10" s="118" t="s">
        <v>7</v>
      </c>
      <c r="E10" s="118" t="s">
        <v>8</v>
      </c>
      <c r="F10" s="119" t="s">
        <v>9</v>
      </c>
      <c r="G10" s="120">
        <v>1</v>
      </c>
      <c r="H10" s="121">
        <v>2</v>
      </c>
      <c r="I10" s="178">
        <v>3</v>
      </c>
      <c r="J10" s="179">
        <v>4</v>
      </c>
      <c r="K10" s="180">
        <v>5</v>
      </c>
      <c r="L10" s="180">
        <v>6</v>
      </c>
      <c r="M10" s="180">
        <v>7</v>
      </c>
      <c r="N10" s="180">
        <v>8</v>
      </c>
      <c r="O10" s="180">
        <v>9</v>
      </c>
      <c r="P10" s="180">
        <v>10</v>
      </c>
      <c r="Q10" s="180">
        <v>11</v>
      </c>
      <c r="R10" s="180">
        <v>12</v>
      </c>
      <c r="S10" s="180">
        <v>13</v>
      </c>
      <c r="T10" s="180">
        <v>14</v>
      </c>
      <c r="U10" s="180">
        <v>15</v>
      </c>
      <c r="V10" s="180">
        <v>16</v>
      </c>
      <c r="W10" s="180">
        <v>17</v>
      </c>
      <c r="X10" s="180">
        <v>18</v>
      </c>
      <c r="Y10" s="180">
        <v>19</v>
      </c>
      <c r="Z10" s="210">
        <v>20</v>
      </c>
      <c r="AB10" s="207"/>
      <c r="AC10" s="207"/>
      <c r="AD10" s="208"/>
      <c r="AE10" s="208"/>
      <c r="AF10" s="208"/>
    </row>
    <row r="11" customHeight="1" spans="1:32">
      <c r="A11" s="98" t="s">
        <v>23</v>
      </c>
      <c r="B11" s="114" t="s">
        <v>24</v>
      </c>
      <c r="C11" s="122">
        <v>12000</v>
      </c>
      <c r="D11" s="123">
        <v>17000</v>
      </c>
      <c r="E11" s="123">
        <v>21000</v>
      </c>
      <c r="F11" s="112">
        <v>22000</v>
      </c>
      <c r="G11" s="115" t="s">
        <v>12</v>
      </c>
      <c r="H11" s="111">
        <v>1</v>
      </c>
      <c r="I11" s="115"/>
      <c r="J11" s="170">
        <v>4</v>
      </c>
      <c r="K11" s="171"/>
      <c r="L11" s="172">
        <v>2</v>
      </c>
      <c r="M11" s="115">
        <v>3</v>
      </c>
      <c r="N11" s="115">
        <v>3</v>
      </c>
      <c r="O11" s="173">
        <v>2</v>
      </c>
      <c r="P11" s="174">
        <v>3</v>
      </c>
      <c r="Q11" s="176">
        <v>3</v>
      </c>
      <c r="R11" s="171"/>
      <c r="S11" s="172">
        <v>1</v>
      </c>
      <c r="T11" s="115">
        <v>2</v>
      </c>
      <c r="U11" s="115">
        <v>1</v>
      </c>
      <c r="V11" s="115" t="s">
        <v>12</v>
      </c>
      <c r="W11" s="115" t="s">
        <v>12</v>
      </c>
      <c r="X11" s="115" t="s">
        <v>12</v>
      </c>
      <c r="Y11" s="115" t="s">
        <v>12</v>
      </c>
      <c r="Z11" s="209" t="s">
        <v>12</v>
      </c>
      <c r="AB11" s="207"/>
      <c r="AC11" s="208"/>
      <c r="AD11" s="208"/>
      <c r="AE11" s="208"/>
      <c r="AF11" s="208"/>
    </row>
    <row r="12" customHeight="1" spans="1:28">
      <c r="A12" s="105" t="s">
        <v>25</v>
      </c>
      <c r="B12" s="106" t="s">
        <v>24</v>
      </c>
      <c r="C12" s="122">
        <v>12000</v>
      </c>
      <c r="D12" s="124">
        <v>17500</v>
      </c>
      <c r="E12" s="124" t="s">
        <v>26</v>
      </c>
      <c r="F12" s="112"/>
      <c r="G12" s="110" t="s">
        <v>12</v>
      </c>
      <c r="H12" s="111">
        <v>1</v>
      </c>
      <c r="I12" s="115"/>
      <c r="J12" s="170">
        <v>4</v>
      </c>
      <c r="K12" s="171"/>
      <c r="L12" s="172">
        <v>2</v>
      </c>
      <c r="M12" s="115">
        <v>3</v>
      </c>
      <c r="N12" s="115">
        <v>3</v>
      </c>
      <c r="O12" s="173">
        <v>2</v>
      </c>
      <c r="P12" s="174">
        <v>3</v>
      </c>
      <c r="Q12" s="176">
        <v>3</v>
      </c>
      <c r="R12" s="171"/>
      <c r="S12" s="172">
        <v>2</v>
      </c>
      <c r="T12" s="115">
        <v>2</v>
      </c>
      <c r="U12" s="115">
        <v>2</v>
      </c>
      <c r="V12" s="110" t="s">
        <v>12</v>
      </c>
      <c r="W12" s="115" t="s">
        <v>12</v>
      </c>
      <c r="X12" s="115" t="s">
        <v>12</v>
      </c>
      <c r="Y12" s="115" t="s">
        <v>12</v>
      </c>
      <c r="Z12" s="209" t="s">
        <v>12</v>
      </c>
      <c r="AB12" s="207"/>
    </row>
    <row r="13" customHeight="1" spans="1:28">
      <c r="A13" s="105" t="s">
        <v>27</v>
      </c>
      <c r="B13" s="106" t="s">
        <v>28</v>
      </c>
      <c r="C13" s="122">
        <v>13000</v>
      </c>
      <c r="D13" s="124">
        <v>19000</v>
      </c>
      <c r="E13" s="124">
        <v>20500</v>
      </c>
      <c r="F13" s="112"/>
      <c r="G13" s="110">
        <v>1</v>
      </c>
      <c r="H13" s="111">
        <v>2</v>
      </c>
      <c r="I13" s="115"/>
      <c r="J13" s="175">
        <v>5</v>
      </c>
      <c r="K13" s="176">
        <v>5</v>
      </c>
      <c r="L13" s="171"/>
      <c r="M13" s="172">
        <v>3</v>
      </c>
      <c r="N13" s="115">
        <v>4</v>
      </c>
      <c r="O13" s="115">
        <v>4</v>
      </c>
      <c r="P13" s="173">
        <v>3</v>
      </c>
      <c r="Q13" s="174">
        <v>4</v>
      </c>
      <c r="R13" s="176">
        <v>4</v>
      </c>
      <c r="S13" s="171"/>
      <c r="T13" s="172">
        <v>2</v>
      </c>
      <c r="U13" s="115">
        <v>3</v>
      </c>
      <c r="V13" s="115">
        <v>3</v>
      </c>
      <c r="W13" s="115" t="s">
        <v>12</v>
      </c>
      <c r="X13" s="115" t="s">
        <v>12</v>
      </c>
      <c r="Y13" s="115" t="s">
        <v>12</v>
      </c>
      <c r="Z13" s="209" t="s">
        <v>12</v>
      </c>
      <c r="AB13" s="207"/>
    </row>
    <row r="14" customHeight="1" spans="1:26">
      <c r="A14" s="113" t="s">
        <v>29</v>
      </c>
      <c r="B14" s="125" t="s">
        <v>30</v>
      </c>
      <c r="C14" s="126">
        <v>13000</v>
      </c>
      <c r="D14" s="127">
        <v>19500</v>
      </c>
      <c r="E14" s="127">
        <v>22000</v>
      </c>
      <c r="F14" s="128"/>
      <c r="G14" s="129">
        <v>3</v>
      </c>
      <c r="H14" s="130">
        <v>4</v>
      </c>
      <c r="I14" s="129"/>
      <c r="J14" s="181">
        <v>9</v>
      </c>
      <c r="K14" s="182">
        <v>9</v>
      </c>
      <c r="L14" s="183">
        <v>11</v>
      </c>
      <c r="M14" s="184">
        <v>11</v>
      </c>
      <c r="N14" s="185"/>
      <c r="O14" s="186">
        <v>6</v>
      </c>
      <c r="P14" s="129">
        <v>9</v>
      </c>
      <c r="Q14" s="129">
        <v>9</v>
      </c>
      <c r="R14" s="202">
        <v>9</v>
      </c>
      <c r="S14" s="183">
        <v>10</v>
      </c>
      <c r="T14" s="184">
        <v>10</v>
      </c>
      <c r="U14" s="185"/>
      <c r="V14" s="186">
        <v>5</v>
      </c>
      <c r="W14" s="129">
        <v>8</v>
      </c>
      <c r="X14" s="129">
        <v>8</v>
      </c>
      <c r="Y14" s="129" t="s">
        <v>12</v>
      </c>
      <c r="Z14" s="211" t="s">
        <v>12</v>
      </c>
    </row>
    <row r="15" customHeight="1" spans="1:26">
      <c r="A15" s="56"/>
      <c r="B15" s="56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customHeight="1" spans="1:26">
      <c r="A16" s="56" t="s">
        <v>31</v>
      </c>
      <c r="B16" s="56"/>
      <c r="C16" s="131"/>
      <c r="D16" s="131"/>
      <c r="E16" s="131"/>
      <c r="F16" s="131"/>
      <c r="G16" s="131"/>
      <c r="H16" s="132"/>
      <c r="I16" s="132"/>
      <c r="J16" s="187"/>
      <c r="K16" s="188" t="s">
        <v>32</v>
      </c>
      <c r="L16" s="188"/>
      <c r="M16" s="188"/>
      <c r="N16" s="188"/>
      <c r="O16" s="189" t="s">
        <v>33</v>
      </c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212"/>
    </row>
    <row r="17" customHeight="1" spans="1:26">
      <c r="A17" s="56" t="s">
        <v>34</v>
      </c>
      <c r="B17" s="56"/>
      <c r="C17" s="131"/>
      <c r="D17" s="131"/>
      <c r="E17" s="131"/>
      <c r="F17" s="131"/>
      <c r="G17" s="131"/>
      <c r="H17" s="132"/>
      <c r="I17" s="132"/>
      <c r="J17" s="190"/>
      <c r="K17" s="188" t="s">
        <v>35</v>
      </c>
      <c r="L17" s="188"/>
      <c r="M17" s="188"/>
      <c r="N17" s="188"/>
      <c r="O17" s="189" t="s">
        <v>36</v>
      </c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212"/>
    </row>
    <row r="18" customHeight="1" spans="1:26">
      <c r="A18" s="133" t="s">
        <v>37</v>
      </c>
      <c r="B18" s="133"/>
      <c r="C18" s="133"/>
      <c r="D18" s="133"/>
      <c r="E18" s="133"/>
      <c r="F18" s="133"/>
      <c r="G18" s="131"/>
      <c r="H18" s="132"/>
      <c r="I18" s="132"/>
      <c r="J18" s="191"/>
      <c r="K18" s="188" t="s">
        <v>38</v>
      </c>
      <c r="L18" s="188"/>
      <c r="M18" s="188"/>
      <c r="N18" s="188"/>
      <c r="O18" s="189" t="s">
        <v>39</v>
      </c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212"/>
    </row>
    <row r="19" customHeight="1" spans="1:27">
      <c r="A19" s="133"/>
      <c r="B19" s="133"/>
      <c r="C19" s="133"/>
      <c r="D19" s="133"/>
      <c r="E19" s="133"/>
      <c r="F19" s="133"/>
      <c r="G19" s="131"/>
      <c r="H19" s="132"/>
      <c r="I19" s="132"/>
      <c r="J19" s="192"/>
      <c r="K19" s="188" t="s">
        <v>40</v>
      </c>
      <c r="L19" s="188"/>
      <c r="M19" s="188"/>
      <c r="N19" s="188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212"/>
      <c r="AA19" s="213"/>
    </row>
    <row r="20" customHeight="1" spans="1:27">
      <c r="A20" s="133" t="s">
        <v>41</v>
      </c>
      <c r="B20" s="133"/>
      <c r="C20" s="133"/>
      <c r="D20" s="133"/>
      <c r="E20" s="133"/>
      <c r="F20" s="133"/>
      <c r="G20" s="131"/>
      <c r="H20" s="132"/>
      <c r="I20" s="132"/>
      <c r="J20" s="193"/>
      <c r="K20" s="189" t="s">
        <v>42</v>
      </c>
      <c r="L20" s="194"/>
      <c r="M20" s="194"/>
      <c r="N20" s="194"/>
      <c r="O20" s="189" t="s">
        <v>43</v>
      </c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212"/>
      <c r="AA20" s="213"/>
    </row>
    <row r="21" customHeight="1" spans="1:27">
      <c r="A21" s="134"/>
      <c r="B21" s="134"/>
      <c r="G21" s="135"/>
      <c r="H21" s="136"/>
      <c r="I21" s="195"/>
      <c r="J21" s="196"/>
      <c r="K21" s="197" t="s">
        <v>44</v>
      </c>
      <c r="L21" s="198"/>
      <c r="M21" s="198"/>
      <c r="N21" s="198"/>
      <c r="O21" s="197" t="s">
        <v>45</v>
      </c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214"/>
      <c r="AA21" s="213"/>
    </row>
    <row r="22" customHeight="1" spans="1:27">
      <c r="A22" s="134"/>
      <c r="B22" s="134"/>
      <c r="G22" s="135"/>
      <c r="H22" s="136"/>
      <c r="I22" s="195"/>
      <c r="J22" s="199"/>
      <c r="K22" s="199"/>
      <c r="L22" s="199"/>
      <c r="M22" s="200"/>
      <c r="N22" s="200"/>
      <c r="O22" s="200"/>
      <c r="P22" s="199"/>
      <c r="Q22" s="199"/>
      <c r="R22" s="199"/>
      <c r="S22" s="199"/>
      <c r="T22" s="200"/>
      <c r="U22" s="200"/>
      <c r="V22" s="200"/>
      <c r="W22" s="200"/>
      <c r="X22" s="200"/>
      <c r="Y22" s="200"/>
      <c r="Z22" s="200"/>
      <c r="AA22" s="213"/>
    </row>
    <row r="23" customHeight="1" spans="2:26">
      <c r="B23" s="137" t="s">
        <v>46</v>
      </c>
      <c r="C23" s="138" t="s">
        <v>47</v>
      </c>
      <c r="D23" s="138"/>
      <c r="E23" s="138"/>
      <c r="F23" s="138"/>
      <c r="G23" s="138" t="s">
        <v>48</v>
      </c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215"/>
    </row>
    <row r="24" customHeight="1" spans="2:26">
      <c r="B24" s="139" t="s">
        <v>49</v>
      </c>
      <c r="C24" s="140" t="s">
        <v>50</v>
      </c>
      <c r="D24" s="140"/>
      <c r="E24" s="140"/>
      <c r="F24" s="140"/>
      <c r="G24" s="140" t="s">
        <v>51</v>
      </c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216"/>
    </row>
    <row r="25" customHeight="1" spans="2:26">
      <c r="B25" s="139" t="s">
        <v>52</v>
      </c>
      <c r="C25" s="140" t="s">
        <v>50</v>
      </c>
      <c r="D25" s="140"/>
      <c r="E25" s="140"/>
      <c r="F25" s="140"/>
      <c r="G25" s="140" t="s">
        <v>53</v>
      </c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216"/>
    </row>
    <row r="26" customHeight="1" spans="2:26">
      <c r="B26" s="139" t="s">
        <v>54</v>
      </c>
      <c r="C26" s="140" t="s">
        <v>50</v>
      </c>
      <c r="D26" s="140"/>
      <c r="E26" s="140"/>
      <c r="F26" s="140"/>
      <c r="G26" s="140" t="s">
        <v>55</v>
      </c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216"/>
    </row>
    <row r="27" customHeight="1" spans="2:26">
      <c r="B27" s="139" t="s">
        <v>56</v>
      </c>
      <c r="C27" s="140" t="s">
        <v>57</v>
      </c>
      <c r="D27" s="140"/>
      <c r="E27" s="140"/>
      <c r="F27" s="140"/>
      <c r="G27" s="140" t="s">
        <v>58</v>
      </c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216"/>
    </row>
    <row r="28" customHeight="1" spans="2:26">
      <c r="B28" s="139" t="s">
        <v>59</v>
      </c>
      <c r="C28" s="140" t="s">
        <v>60</v>
      </c>
      <c r="D28" s="140"/>
      <c r="E28" s="140"/>
      <c r="F28" s="140"/>
      <c r="G28" s="140" t="s">
        <v>61</v>
      </c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216"/>
    </row>
    <row r="29" customHeight="1" spans="2:26">
      <c r="B29" s="139" t="s">
        <v>62</v>
      </c>
      <c r="C29" s="140" t="s">
        <v>63</v>
      </c>
      <c r="D29" s="140"/>
      <c r="E29" s="140"/>
      <c r="F29" s="140"/>
      <c r="G29" s="140" t="s">
        <v>64</v>
      </c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216"/>
    </row>
    <row r="30" customHeight="1" spans="2:26">
      <c r="B30" s="139" t="s">
        <v>65</v>
      </c>
      <c r="C30" s="140" t="s">
        <v>66</v>
      </c>
      <c r="D30" s="140"/>
      <c r="E30" s="140"/>
      <c r="F30" s="140"/>
      <c r="G30" s="140" t="s">
        <v>67</v>
      </c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216"/>
    </row>
    <row r="31" customHeight="1" spans="2:26">
      <c r="B31" s="141" t="s">
        <v>68</v>
      </c>
      <c r="C31" s="142" t="s">
        <v>69</v>
      </c>
      <c r="D31" s="142"/>
      <c r="E31" s="142"/>
      <c r="F31" s="142"/>
      <c r="G31" s="142" t="s">
        <v>70</v>
      </c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217"/>
    </row>
    <row r="33" customHeight="1" spans="2:26">
      <c r="B33" s="144" t="s">
        <v>46</v>
      </c>
      <c r="C33" s="145" t="s">
        <v>40</v>
      </c>
      <c r="D33" s="145"/>
      <c r="E33" s="145"/>
      <c r="F33" s="145"/>
      <c r="G33" s="145" t="s">
        <v>48</v>
      </c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218"/>
    </row>
    <row r="34" customHeight="1" spans="2:26">
      <c r="B34" s="146" t="s">
        <v>71</v>
      </c>
      <c r="C34" s="140" t="s">
        <v>72</v>
      </c>
      <c r="D34" s="140"/>
      <c r="E34" s="140"/>
      <c r="F34" s="140"/>
      <c r="G34" s="140" t="s">
        <v>73</v>
      </c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216"/>
    </row>
    <row r="35" customHeight="1" spans="2:26">
      <c r="B35" s="146" t="s">
        <v>56</v>
      </c>
      <c r="C35" s="140" t="s">
        <v>74</v>
      </c>
      <c r="D35" s="140"/>
      <c r="E35" s="140"/>
      <c r="F35" s="140"/>
      <c r="G35" s="140" t="s">
        <v>75</v>
      </c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216"/>
    </row>
    <row r="36" customHeight="1" spans="2:26">
      <c r="B36" s="146" t="s">
        <v>56</v>
      </c>
      <c r="C36" s="140" t="s">
        <v>76</v>
      </c>
      <c r="D36" s="140"/>
      <c r="E36" s="140"/>
      <c r="F36" s="140"/>
      <c r="G36" s="140" t="s">
        <v>77</v>
      </c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216"/>
    </row>
    <row r="37" customHeight="1" spans="2:26">
      <c r="B37" s="146" t="s">
        <v>78</v>
      </c>
      <c r="C37" s="140" t="s">
        <v>79</v>
      </c>
      <c r="D37" s="140"/>
      <c r="E37" s="140"/>
      <c r="F37" s="140"/>
      <c r="G37" s="140" t="s">
        <v>80</v>
      </c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216"/>
    </row>
    <row r="38" customHeight="1" spans="2:26">
      <c r="B38" s="147" t="s">
        <v>81</v>
      </c>
      <c r="C38" s="142" t="s">
        <v>82</v>
      </c>
      <c r="D38" s="142"/>
      <c r="E38" s="142"/>
      <c r="F38" s="142"/>
      <c r="G38" s="142" t="s">
        <v>83</v>
      </c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217"/>
    </row>
    <row r="40" customHeight="1" spans="2:26">
      <c r="B40" s="148" t="s">
        <v>46</v>
      </c>
      <c r="C40" s="149" t="s">
        <v>38</v>
      </c>
      <c r="D40" s="149"/>
      <c r="E40" s="149"/>
      <c r="F40" s="149"/>
      <c r="G40" s="149" t="s">
        <v>48</v>
      </c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219"/>
    </row>
    <row r="41" customHeight="1" spans="2:26">
      <c r="B41" s="150" t="s">
        <v>84</v>
      </c>
      <c r="C41" s="140" t="s">
        <v>85</v>
      </c>
      <c r="D41" s="140"/>
      <c r="E41" s="140"/>
      <c r="F41" s="140"/>
      <c r="G41" s="140" t="s">
        <v>86</v>
      </c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216"/>
    </row>
    <row r="42" customHeight="1" spans="2:26">
      <c r="B42" s="150" t="s">
        <v>87</v>
      </c>
      <c r="C42" s="140" t="s">
        <v>88</v>
      </c>
      <c r="D42" s="140"/>
      <c r="E42" s="140"/>
      <c r="F42" s="140"/>
      <c r="G42" s="140" t="s">
        <v>89</v>
      </c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216"/>
    </row>
    <row r="43" customHeight="1" spans="2:26">
      <c r="B43" s="150" t="s">
        <v>90</v>
      </c>
      <c r="C43" s="140" t="s">
        <v>91</v>
      </c>
      <c r="D43" s="140"/>
      <c r="E43" s="140"/>
      <c r="F43" s="140"/>
      <c r="G43" s="140" t="s">
        <v>92</v>
      </c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216"/>
    </row>
    <row r="44" customHeight="1" spans="2:26">
      <c r="B44" s="151" t="s">
        <v>81</v>
      </c>
      <c r="C44" s="142" t="s">
        <v>93</v>
      </c>
      <c r="D44" s="142"/>
      <c r="E44" s="142"/>
      <c r="F44" s="142"/>
      <c r="G44" s="142" t="s">
        <v>94</v>
      </c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217"/>
    </row>
    <row r="46" customHeight="1" spans="2:26">
      <c r="B46" s="148" t="s">
        <v>46</v>
      </c>
      <c r="C46" s="149" t="s">
        <v>38</v>
      </c>
      <c r="D46" s="149"/>
      <c r="E46" s="149"/>
      <c r="F46" s="149"/>
      <c r="G46" s="149" t="s">
        <v>48</v>
      </c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219"/>
    </row>
    <row r="47" customHeight="1" spans="2:26">
      <c r="B47" s="150" t="s">
        <v>49</v>
      </c>
      <c r="C47" s="140" t="s">
        <v>95</v>
      </c>
      <c r="D47" s="140"/>
      <c r="E47" s="140"/>
      <c r="F47" s="140"/>
      <c r="G47" s="140" t="s">
        <v>86</v>
      </c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216"/>
    </row>
    <row r="48" customHeight="1" spans="2:26">
      <c r="B48" s="150" t="s">
        <v>96</v>
      </c>
      <c r="C48" s="140" t="s">
        <v>97</v>
      </c>
      <c r="D48" s="140"/>
      <c r="E48" s="140"/>
      <c r="F48" s="140"/>
      <c r="G48" s="140" t="s">
        <v>98</v>
      </c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216"/>
    </row>
    <row r="49" customHeight="1" spans="2:26">
      <c r="B49" s="150" t="s">
        <v>87</v>
      </c>
      <c r="C49" s="140" t="s">
        <v>97</v>
      </c>
      <c r="D49" s="140"/>
      <c r="E49" s="140"/>
      <c r="F49" s="140"/>
      <c r="G49" s="140" t="s">
        <v>89</v>
      </c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216"/>
    </row>
    <row r="50" customHeight="1" spans="2:26">
      <c r="B50" s="150" t="s">
        <v>90</v>
      </c>
      <c r="C50" s="140" t="s">
        <v>91</v>
      </c>
      <c r="D50" s="140"/>
      <c r="E50" s="140"/>
      <c r="F50" s="140"/>
      <c r="G50" s="140" t="s">
        <v>92</v>
      </c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216"/>
    </row>
    <row r="51" customHeight="1" spans="2:26">
      <c r="B51" s="151" t="s">
        <v>81</v>
      </c>
      <c r="C51" s="142" t="s">
        <v>93</v>
      </c>
      <c r="D51" s="142"/>
      <c r="E51" s="142"/>
      <c r="F51" s="142"/>
      <c r="G51" s="142" t="s">
        <v>94</v>
      </c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217"/>
    </row>
    <row r="53" customHeight="1" spans="2:26">
      <c r="B53" s="152" t="s">
        <v>46</v>
      </c>
      <c r="C53" s="153" t="s">
        <v>32</v>
      </c>
      <c r="D53" s="153"/>
      <c r="E53" s="153"/>
      <c r="F53" s="153"/>
      <c r="G53" s="153" t="s">
        <v>48</v>
      </c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220"/>
    </row>
    <row r="54" customHeight="1" spans="2:26">
      <c r="B54" s="154" t="s">
        <v>49</v>
      </c>
      <c r="C54" s="155" t="s">
        <v>99</v>
      </c>
      <c r="D54" s="155"/>
      <c r="E54" s="155"/>
      <c r="F54" s="155"/>
      <c r="G54" s="140" t="s">
        <v>86</v>
      </c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216"/>
    </row>
    <row r="55" customHeight="1" spans="2:26">
      <c r="B55" s="154" t="s">
        <v>52</v>
      </c>
      <c r="C55" s="155" t="s">
        <v>100</v>
      </c>
      <c r="D55" s="155"/>
      <c r="E55" s="155"/>
      <c r="F55" s="155"/>
      <c r="G55" s="140" t="s">
        <v>101</v>
      </c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216"/>
    </row>
    <row r="56" customHeight="1" spans="2:26">
      <c r="B56" s="154" t="s">
        <v>102</v>
      </c>
      <c r="C56" s="140" t="s">
        <v>38</v>
      </c>
      <c r="D56" s="140"/>
      <c r="E56" s="140"/>
      <c r="F56" s="140"/>
      <c r="G56" s="140" t="s">
        <v>103</v>
      </c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216"/>
    </row>
    <row r="57" customHeight="1" spans="2:26">
      <c r="B57" s="154" t="s">
        <v>87</v>
      </c>
      <c r="C57" s="140" t="s">
        <v>104</v>
      </c>
      <c r="D57" s="140"/>
      <c r="E57" s="140"/>
      <c r="F57" s="140"/>
      <c r="G57" s="140" t="s">
        <v>105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216"/>
    </row>
    <row r="58" customHeight="1" spans="2:26">
      <c r="B58" s="154" t="s">
        <v>106</v>
      </c>
      <c r="C58" s="140" t="s">
        <v>107</v>
      </c>
      <c r="D58" s="140"/>
      <c r="E58" s="140"/>
      <c r="F58" s="140"/>
      <c r="G58" s="140" t="s">
        <v>108</v>
      </c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216"/>
    </row>
    <row r="59" customHeight="1" spans="2:26">
      <c r="B59" s="154" t="s">
        <v>59</v>
      </c>
      <c r="C59" s="140" t="s">
        <v>109</v>
      </c>
      <c r="D59" s="140"/>
      <c r="E59" s="140"/>
      <c r="F59" s="140"/>
      <c r="G59" s="140" t="s">
        <v>64</v>
      </c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216"/>
    </row>
    <row r="60" customHeight="1" spans="2:26">
      <c r="B60" s="154" t="s">
        <v>62</v>
      </c>
      <c r="C60" s="140" t="s">
        <v>66</v>
      </c>
      <c r="D60" s="140"/>
      <c r="E60" s="140"/>
      <c r="F60" s="140"/>
      <c r="G60" s="140" t="s">
        <v>110</v>
      </c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216"/>
    </row>
    <row r="61" customHeight="1" spans="2:26">
      <c r="B61" s="156" t="s">
        <v>81</v>
      </c>
      <c r="C61" s="142" t="s">
        <v>44</v>
      </c>
      <c r="D61" s="142"/>
      <c r="E61" s="142"/>
      <c r="F61" s="142"/>
      <c r="G61" s="142" t="s">
        <v>111</v>
      </c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217"/>
    </row>
  </sheetData>
  <mergeCells count="93">
    <mergeCell ref="C1:F1"/>
    <mergeCell ref="G1:H1"/>
    <mergeCell ref="J1:Z1"/>
    <mergeCell ref="A15:B15"/>
    <mergeCell ref="A16:B16"/>
    <mergeCell ref="K16:N16"/>
    <mergeCell ref="O16:Z16"/>
    <mergeCell ref="A17:B17"/>
    <mergeCell ref="K17:N17"/>
    <mergeCell ref="O17:Z17"/>
    <mergeCell ref="K18:N18"/>
    <mergeCell ref="O18:Z18"/>
    <mergeCell ref="K19:N19"/>
    <mergeCell ref="O19:Z19"/>
    <mergeCell ref="A20:F20"/>
    <mergeCell ref="K20:N20"/>
    <mergeCell ref="O20:Z20"/>
    <mergeCell ref="K21:N21"/>
    <mergeCell ref="O21:Z21"/>
    <mergeCell ref="A22:B22"/>
    <mergeCell ref="C23:F23"/>
    <mergeCell ref="G23:Z23"/>
    <mergeCell ref="C24:F24"/>
    <mergeCell ref="G24:Z24"/>
    <mergeCell ref="C25:F25"/>
    <mergeCell ref="G25:Z25"/>
    <mergeCell ref="C26:F26"/>
    <mergeCell ref="G26:Z26"/>
    <mergeCell ref="C27:F27"/>
    <mergeCell ref="G27:Z27"/>
    <mergeCell ref="C28:F28"/>
    <mergeCell ref="G28:Z28"/>
    <mergeCell ref="C29:F29"/>
    <mergeCell ref="G29:Z29"/>
    <mergeCell ref="C30:F30"/>
    <mergeCell ref="G30:Z30"/>
    <mergeCell ref="C31:F31"/>
    <mergeCell ref="G31:Z31"/>
    <mergeCell ref="C33:F33"/>
    <mergeCell ref="G33:Z33"/>
    <mergeCell ref="C34:F34"/>
    <mergeCell ref="G34:Z34"/>
    <mergeCell ref="C35:F35"/>
    <mergeCell ref="G35:Z35"/>
    <mergeCell ref="C36:F36"/>
    <mergeCell ref="G36:Z36"/>
    <mergeCell ref="C37:F37"/>
    <mergeCell ref="G37:Z37"/>
    <mergeCell ref="C38:F38"/>
    <mergeCell ref="G38:Z38"/>
    <mergeCell ref="C40:F40"/>
    <mergeCell ref="G40:Z40"/>
    <mergeCell ref="C41:F41"/>
    <mergeCell ref="G41:Z41"/>
    <mergeCell ref="C42:F42"/>
    <mergeCell ref="G42:Z42"/>
    <mergeCell ref="C43:F43"/>
    <mergeCell ref="G43:Z43"/>
    <mergeCell ref="C44:F44"/>
    <mergeCell ref="G44:Z44"/>
    <mergeCell ref="C46:F46"/>
    <mergeCell ref="G46:Z46"/>
    <mergeCell ref="C47:F47"/>
    <mergeCell ref="G47:Z47"/>
    <mergeCell ref="C48:F48"/>
    <mergeCell ref="G48:Z48"/>
    <mergeCell ref="C49:F49"/>
    <mergeCell ref="G49:Z49"/>
    <mergeCell ref="C50:F50"/>
    <mergeCell ref="G50:Z50"/>
    <mergeCell ref="C51:F51"/>
    <mergeCell ref="G51:Z51"/>
    <mergeCell ref="C53:F53"/>
    <mergeCell ref="G53:Z53"/>
    <mergeCell ref="C54:F54"/>
    <mergeCell ref="G54:Z54"/>
    <mergeCell ref="C55:F55"/>
    <mergeCell ref="G55:Z55"/>
    <mergeCell ref="C56:F56"/>
    <mergeCell ref="G56:Z56"/>
    <mergeCell ref="C57:F57"/>
    <mergeCell ref="G57:Z57"/>
    <mergeCell ref="C58:F58"/>
    <mergeCell ref="G58:Z58"/>
    <mergeCell ref="C59:F59"/>
    <mergeCell ref="G59:Z59"/>
    <mergeCell ref="C60:F60"/>
    <mergeCell ref="G60:Z60"/>
    <mergeCell ref="C61:F61"/>
    <mergeCell ref="G61:Z61"/>
    <mergeCell ref="A1:A2"/>
    <mergeCell ref="B1:B2"/>
    <mergeCell ref="A18:F19"/>
  </mergeCells>
  <pageMargins left="0.25" right="0.25" top="0.75" bottom="0.75" header="0.298611111111111" footer="0.298611111111111"/>
  <pageSetup paperSize="9" scale="63" orientation="portrait"/>
  <headerFooter/>
  <ignoredErrors>
    <ignoredError sqref="B58:B60 B28:B32 B24:B26 B47 B54:B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33"/>
  <sheetViews>
    <sheetView zoomScale="70" zoomScaleNormal="70" workbookViewId="0">
      <selection activeCell="A32" sqref="A1:B32"/>
    </sheetView>
  </sheetViews>
  <sheetFormatPr defaultColWidth="9" defaultRowHeight="14.25"/>
  <cols>
    <col min="1" max="1" width="15.625" style="56" customWidth="1"/>
    <col min="2" max="15" width="6.625" style="56" customWidth="1"/>
    <col min="16" max="16" width="9" style="56"/>
    <col min="17" max="17" width="15.625" style="56" customWidth="1"/>
    <col min="18" max="18" width="20.625" style="56" customWidth="1"/>
    <col min="19" max="19" width="9" style="56"/>
    <col min="20" max="20" width="39.625" style="56" customWidth="1"/>
    <col min="21" max="21" width="9.5" style="56" customWidth="1"/>
    <col min="22" max="22" width="20.625" style="56" customWidth="1"/>
    <col min="23" max="16384" width="9" style="56"/>
  </cols>
  <sheetData>
    <row r="1" spans="1:18">
      <c r="A1" s="57" t="s">
        <v>112</v>
      </c>
      <c r="B1" s="58">
        <v>10</v>
      </c>
      <c r="C1" s="58">
        <v>20</v>
      </c>
      <c r="D1" s="58">
        <v>30</v>
      </c>
      <c r="E1" s="58">
        <v>40</v>
      </c>
      <c r="F1" s="59">
        <v>50</v>
      </c>
      <c r="G1" s="58">
        <v>60</v>
      </c>
      <c r="H1" s="59">
        <v>70</v>
      </c>
      <c r="I1" s="58">
        <v>80</v>
      </c>
      <c r="J1" s="58">
        <v>90</v>
      </c>
      <c r="K1" s="58">
        <v>100</v>
      </c>
      <c r="L1" s="58">
        <v>110</v>
      </c>
      <c r="M1" s="58">
        <v>120</v>
      </c>
      <c r="N1" s="58">
        <v>130</v>
      </c>
      <c r="O1" s="70">
        <v>140</v>
      </c>
      <c r="Q1" s="75" t="s">
        <v>113</v>
      </c>
      <c r="R1" s="76" t="s">
        <v>114</v>
      </c>
    </row>
    <row r="2" ht="20" customHeight="1" spans="1:18">
      <c r="A2" s="60"/>
      <c r="B2" s="61"/>
      <c r="C2" s="61"/>
      <c r="D2" s="61"/>
      <c r="E2" s="61"/>
      <c r="F2" s="62"/>
      <c r="G2" s="61"/>
      <c r="H2" s="62"/>
      <c r="I2" s="61"/>
      <c r="J2" s="61"/>
      <c r="K2" s="61"/>
      <c r="L2" s="61"/>
      <c r="M2" s="61"/>
      <c r="N2" s="61"/>
      <c r="O2" s="71"/>
      <c r="Q2" s="77"/>
      <c r="R2" s="78"/>
    </row>
    <row r="3" ht="30" customHeight="1" spans="1:18">
      <c r="A3" s="63">
        <v>0</v>
      </c>
      <c r="B3" s="64">
        <f>ROUND($A3*B$1,0)</f>
        <v>0</v>
      </c>
      <c r="C3" s="64">
        <f t="shared" ref="C3:O3" si="0">ROUND($A3*C$1,0)</f>
        <v>0</v>
      </c>
      <c r="D3" s="64">
        <f t="shared" si="0"/>
        <v>0</v>
      </c>
      <c r="E3" s="64">
        <f t="shared" si="0"/>
        <v>0</v>
      </c>
      <c r="F3" s="64">
        <f t="shared" si="0"/>
        <v>0</v>
      </c>
      <c r="G3" s="64">
        <f t="shared" si="0"/>
        <v>0</v>
      </c>
      <c r="H3" s="64">
        <f t="shared" si="0"/>
        <v>0</v>
      </c>
      <c r="I3" s="64">
        <f t="shared" si="0"/>
        <v>0</v>
      </c>
      <c r="J3" s="64">
        <f t="shared" si="0"/>
        <v>0</v>
      </c>
      <c r="K3" s="64">
        <f t="shared" si="0"/>
        <v>0</v>
      </c>
      <c r="L3" s="64">
        <f t="shared" si="0"/>
        <v>0</v>
      </c>
      <c r="M3" s="64">
        <f t="shared" si="0"/>
        <v>0</v>
      </c>
      <c r="N3" s="64">
        <f t="shared" si="0"/>
        <v>0</v>
      </c>
      <c r="O3" s="72">
        <f t="shared" si="0"/>
        <v>0</v>
      </c>
      <c r="Q3" s="79" t="s">
        <v>115</v>
      </c>
      <c r="R3" s="80" t="s">
        <v>116</v>
      </c>
    </row>
    <row r="4" ht="30" customHeight="1" spans="1:18">
      <c r="A4" s="65">
        <v>0.01</v>
      </c>
      <c r="B4" s="66">
        <f>ROUND($A4*B$1,0)</f>
        <v>0</v>
      </c>
      <c r="C4" s="66">
        <f>ROUND($A4*C$1,0)</f>
        <v>0</v>
      </c>
      <c r="D4" s="66">
        <f>ROUND($A4*D$1,0)</f>
        <v>0</v>
      </c>
      <c r="E4" s="66">
        <f>ROUND($A4*E$1,0)</f>
        <v>0</v>
      </c>
      <c r="F4" s="66">
        <f>ROUND($A4*F$1,0)</f>
        <v>1</v>
      </c>
      <c r="G4" s="66">
        <f>ROUND($A4*G$1,0)</f>
        <v>1</v>
      </c>
      <c r="H4" s="66">
        <f>ROUND($A4*H$1,0)</f>
        <v>1</v>
      </c>
      <c r="I4" s="66">
        <f>ROUND($A4*I$1,0)</f>
        <v>1</v>
      </c>
      <c r="J4" s="66">
        <f>ROUND($A4*J$1,0)</f>
        <v>1</v>
      </c>
      <c r="K4" s="66">
        <f>ROUND($A4*K$1,0)</f>
        <v>1</v>
      </c>
      <c r="L4" s="66">
        <f>ROUND($A4*L$1,0)</f>
        <v>1</v>
      </c>
      <c r="M4" s="66">
        <f>ROUND($A4*M$1,0)</f>
        <v>1</v>
      </c>
      <c r="N4" s="66">
        <f>ROUND($A4*N$1,0)</f>
        <v>1</v>
      </c>
      <c r="O4" s="73">
        <f>ROUND($A4*O$1,0)</f>
        <v>1</v>
      </c>
      <c r="Q4" s="79" t="s">
        <v>117</v>
      </c>
      <c r="R4" s="80" t="s">
        <v>118</v>
      </c>
    </row>
    <row r="5" ht="30" customHeight="1" spans="1:18">
      <c r="A5" s="67">
        <v>0.02</v>
      </c>
      <c r="B5" s="64">
        <f t="shared" ref="B5:B33" si="1">ROUND($A5*B$1,0)</f>
        <v>0</v>
      </c>
      <c r="C5" s="64">
        <f t="shared" ref="C5:C33" si="2">ROUND($A5*C$1,0)</f>
        <v>0</v>
      </c>
      <c r="D5" s="64">
        <f t="shared" ref="D5:D33" si="3">ROUND($A5*D$1,0)</f>
        <v>1</v>
      </c>
      <c r="E5" s="64">
        <f t="shared" ref="E5:E33" si="4">ROUND($A5*E$1,0)</f>
        <v>1</v>
      </c>
      <c r="F5" s="64">
        <f t="shared" ref="F5:F33" si="5">ROUND($A5*F$1,0)</f>
        <v>1</v>
      </c>
      <c r="G5" s="64">
        <f t="shared" ref="G5:G33" si="6">ROUND($A5*G$1,0)</f>
        <v>1</v>
      </c>
      <c r="H5" s="64">
        <f t="shared" ref="H5:H33" si="7">ROUND($A5*H$1,0)</f>
        <v>1</v>
      </c>
      <c r="I5" s="64">
        <f t="shared" ref="I5:I33" si="8">ROUND($A5*I$1,0)</f>
        <v>2</v>
      </c>
      <c r="J5" s="64">
        <f t="shared" ref="J5:J33" si="9">ROUND($A5*J$1,0)</f>
        <v>2</v>
      </c>
      <c r="K5" s="64">
        <f t="shared" ref="K5:K33" si="10">ROUND($A5*K$1,0)</f>
        <v>2</v>
      </c>
      <c r="L5" s="64">
        <f t="shared" ref="L5:L33" si="11">ROUND($A5*L$1,0)</f>
        <v>2</v>
      </c>
      <c r="M5" s="64">
        <f t="shared" ref="M5:M33" si="12">ROUND($A5*M$1,0)</f>
        <v>2</v>
      </c>
      <c r="N5" s="64">
        <f t="shared" ref="N5:N33" si="13">ROUND($A5*N$1,0)</f>
        <v>3</v>
      </c>
      <c r="O5" s="72">
        <f t="shared" ref="O5:O33" si="14">ROUND($A5*O$1,0)</f>
        <v>3</v>
      </c>
      <c r="Q5" s="79" t="s">
        <v>119</v>
      </c>
      <c r="R5" s="80" t="s">
        <v>120</v>
      </c>
    </row>
    <row r="6" ht="30" customHeight="1" spans="1:18">
      <c r="A6" s="65">
        <v>0.03</v>
      </c>
      <c r="B6" s="66">
        <f t="shared" si="1"/>
        <v>0</v>
      </c>
      <c r="C6" s="66">
        <f t="shared" si="2"/>
        <v>1</v>
      </c>
      <c r="D6" s="66">
        <f t="shared" si="3"/>
        <v>1</v>
      </c>
      <c r="E6" s="66">
        <f t="shared" si="4"/>
        <v>1</v>
      </c>
      <c r="F6" s="66">
        <f t="shared" si="5"/>
        <v>2</v>
      </c>
      <c r="G6" s="66">
        <f t="shared" si="6"/>
        <v>2</v>
      </c>
      <c r="H6" s="66">
        <f t="shared" si="7"/>
        <v>2</v>
      </c>
      <c r="I6" s="66">
        <f t="shared" si="8"/>
        <v>2</v>
      </c>
      <c r="J6" s="66">
        <f t="shared" si="9"/>
        <v>3</v>
      </c>
      <c r="K6" s="66">
        <f t="shared" si="10"/>
        <v>3</v>
      </c>
      <c r="L6" s="66">
        <f t="shared" si="11"/>
        <v>3</v>
      </c>
      <c r="M6" s="66">
        <f t="shared" si="12"/>
        <v>4</v>
      </c>
      <c r="N6" s="66">
        <f t="shared" si="13"/>
        <v>4</v>
      </c>
      <c r="O6" s="73">
        <f t="shared" si="14"/>
        <v>4</v>
      </c>
      <c r="Q6" s="79" t="s">
        <v>121</v>
      </c>
      <c r="R6" s="80" t="s">
        <v>122</v>
      </c>
    </row>
    <row r="7" ht="30" customHeight="1" spans="1:18">
      <c r="A7" s="67">
        <v>0.04</v>
      </c>
      <c r="B7" s="64">
        <f t="shared" si="1"/>
        <v>0</v>
      </c>
      <c r="C7" s="64">
        <f t="shared" si="2"/>
        <v>1</v>
      </c>
      <c r="D7" s="64">
        <f t="shared" si="3"/>
        <v>1</v>
      </c>
      <c r="E7" s="64">
        <f t="shared" si="4"/>
        <v>2</v>
      </c>
      <c r="F7" s="64">
        <f t="shared" si="5"/>
        <v>2</v>
      </c>
      <c r="G7" s="64">
        <f t="shared" si="6"/>
        <v>2</v>
      </c>
      <c r="H7" s="64">
        <f t="shared" si="7"/>
        <v>3</v>
      </c>
      <c r="I7" s="64">
        <f t="shared" si="8"/>
        <v>3</v>
      </c>
      <c r="J7" s="64">
        <f t="shared" si="9"/>
        <v>4</v>
      </c>
      <c r="K7" s="64">
        <f t="shared" si="10"/>
        <v>4</v>
      </c>
      <c r="L7" s="64">
        <f t="shared" si="11"/>
        <v>4</v>
      </c>
      <c r="M7" s="64">
        <f t="shared" si="12"/>
        <v>5</v>
      </c>
      <c r="N7" s="64">
        <f t="shared" si="13"/>
        <v>5</v>
      </c>
      <c r="O7" s="72">
        <f t="shared" si="14"/>
        <v>6</v>
      </c>
      <c r="Q7" s="79" t="s">
        <v>123</v>
      </c>
      <c r="R7" s="80" t="s">
        <v>124</v>
      </c>
    </row>
    <row r="8" ht="30" customHeight="1" spans="1:18">
      <c r="A8" s="65">
        <v>0.05</v>
      </c>
      <c r="B8" s="66">
        <f t="shared" si="1"/>
        <v>1</v>
      </c>
      <c r="C8" s="66">
        <f t="shared" si="2"/>
        <v>1</v>
      </c>
      <c r="D8" s="66">
        <f t="shared" si="3"/>
        <v>2</v>
      </c>
      <c r="E8" s="66">
        <f t="shared" si="4"/>
        <v>2</v>
      </c>
      <c r="F8" s="66">
        <f t="shared" si="5"/>
        <v>3</v>
      </c>
      <c r="G8" s="66">
        <f t="shared" si="6"/>
        <v>3</v>
      </c>
      <c r="H8" s="66">
        <f t="shared" si="7"/>
        <v>4</v>
      </c>
      <c r="I8" s="66">
        <f t="shared" si="8"/>
        <v>4</v>
      </c>
      <c r="J8" s="66">
        <f t="shared" si="9"/>
        <v>5</v>
      </c>
      <c r="K8" s="66">
        <f t="shared" si="10"/>
        <v>5</v>
      </c>
      <c r="L8" s="66">
        <f t="shared" si="11"/>
        <v>6</v>
      </c>
      <c r="M8" s="66">
        <f t="shared" si="12"/>
        <v>6</v>
      </c>
      <c r="N8" s="66">
        <f t="shared" si="13"/>
        <v>7</v>
      </c>
      <c r="O8" s="73">
        <f t="shared" si="14"/>
        <v>7</v>
      </c>
      <c r="Q8" s="79" t="s">
        <v>125</v>
      </c>
      <c r="R8" s="80" t="s">
        <v>126</v>
      </c>
    </row>
    <row r="9" ht="30" customHeight="1" spans="1:18">
      <c r="A9" s="67">
        <v>0.06</v>
      </c>
      <c r="B9" s="64">
        <f t="shared" si="1"/>
        <v>1</v>
      </c>
      <c r="C9" s="64">
        <f t="shared" si="2"/>
        <v>1</v>
      </c>
      <c r="D9" s="64">
        <f t="shared" si="3"/>
        <v>2</v>
      </c>
      <c r="E9" s="64">
        <f t="shared" si="4"/>
        <v>2</v>
      </c>
      <c r="F9" s="64">
        <f t="shared" si="5"/>
        <v>3</v>
      </c>
      <c r="G9" s="64">
        <f t="shared" si="6"/>
        <v>4</v>
      </c>
      <c r="H9" s="64">
        <f t="shared" si="7"/>
        <v>4</v>
      </c>
      <c r="I9" s="64">
        <f t="shared" si="8"/>
        <v>5</v>
      </c>
      <c r="J9" s="64">
        <f t="shared" si="9"/>
        <v>5</v>
      </c>
      <c r="K9" s="64">
        <f t="shared" si="10"/>
        <v>6</v>
      </c>
      <c r="L9" s="64">
        <f t="shared" si="11"/>
        <v>7</v>
      </c>
      <c r="M9" s="64">
        <f t="shared" si="12"/>
        <v>7</v>
      </c>
      <c r="N9" s="64">
        <f t="shared" si="13"/>
        <v>8</v>
      </c>
      <c r="O9" s="72">
        <f t="shared" si="14"/>
        <v>8</v>
      </c>
      <c r="Q9" s="79" t="s">
        <v>127</v>
      </c>
      <c r="R9" s="80" t="s">
        <v>128</v>
      </c>
    </row>
    <row r="10" ht="30" customHeight="1" spans="1:18">
      <c r="A10" s="65">
        <v>0.07</v>
      </c>
      <c r="B10" s="66">
        <f t="shared" si="1"/>
        <v>1</v>
      </c>
      <c r="C10" s="66">
        <f t="shared" si="2"/>
        <v>1</v>
      </c>
      <c r="D10" s="66">
        <f t="shared" si="3"/>
        <v>2</v>
      </c>
      <c r="E10" s="66">
        <f t="shared" si="4"/>
        <v>3</v>
      </c>
      <c r="F10" s="66">
        <f t="shared" si="5"/>
        <v>4</v>
      </c>
      <c r="G10" s="66">
        <f t="shared" si="6"/>
        <v>4</v>
      </c>
      <c r="H10" s="66">
        <f t="shared" si="7"/>
        <v>5</v>
      </c>
      <c r="I10" s="66">
        <f t="shared" si="8"/>
        <v>6</v>
      </c>
      <c r="J10" s="66">
        <f t="shared" si="9"/>
        <v>6</v>
      </c>
      <c r="K10" s="66">
        <f t="shared" si="10"/>
        <v>7</v>
      </c>
      <c r="L10" s="66">
        <f t="shared" si="11"/>
        <v>8</v>
      </c>
      <c r="M10" s="66">
        <f t="shared" si="12"/>
        <v>8</v>
      </c>
      <c r="N10" s="66">
        <f t="shared" si="13"/>
        <v>9</v>
      </c>
      <c r="O10" s="73">
        <f t="shared" si="14"/>
        <v>10</v>
      </c>
      <c r="Q10" s="81" t="s">
        <v>129</v>
      </c>
      <c r="R10" s="82" t="s">
        <v>128</v>
      </c>
    </row>
    <row r="11" ht="30" customHeight="1" spans="1:15">
      <c r="A11" s="67">
        <v>0.08</v>
      </c>
      <c r="B11" s="64">
        <f t="shared" si="1"/>
        <v>1</v>
      </c>
      <c r="C11" s="64">
        <f t="shared" si="2"/>
        <v>2</v>
      </c>
      <c r="D11" s="64">
        <f t="shared" si="3"/>
        <v>2</v>
      </c>
      <c r="E11" s="64">
        <f t="shared" si="4"/>
        <v>3</v>
      </c>
      <c r="F11" s="64">
        <f t="shared" si="5"/>
        <v>4</v>
      </c>
      <c r="G11" s="64">
        <f t="shared" si="6"/>
        <v>5</v>
      </c>
      <c r="H11" s="64">
        <f t="shared" si="7"/>
        <v>6</v>
      </c>
      <c r="I11" s="64">
        <f t="shared" si="8"/>
        <v>6</v>
      </c>
      <c r="J11" s="64">
        <f t="shared" si="9"/>
        <v>7</v>
      </c>
      <c r="K11" s="64">
        <f t="shared" si="10"/>
        <v>8</v>
      </c>
      <c r="L11" s="64">
        <f t="shared" si="11"/>
        <v>9</v>
      </c>
      <c r="M11" s="64">
        <f t="shared" si="12"/>
        <v>10</v>
      </c>
      <c r="N11" s="64">
        <f t="shared" si="13"/>
        <v>10</v>
      </c>
      <c r="O11" s="72">
        <f t="shared" si="14"/>
        <v>11</v>
      </c>
    </row>
    <row r="12" ht="30" customHeight="1" spans="1:15">
      <c r="A12" s="65">
        <v>0.09</v>
      </c>
      <c r="B12" s="66">
        <f t="shared" si="1"/>
        <v>1</v>
      </c>
      <c r="C12" s="66">
        <f t="shared" si="2"/>
        <v>2</v>
      </c>
      <c r="D12" s="66">
        <f t="shared" si="3"/>
        <v>3</v>
      </c>
      <c r="E12" s="66">
        <f t="shared" si="4"/>
        <v>4</v>
      </c>
      <c r="F12" s="66">
        <f t="shared" si="5"/>
        <v>5</v>
      </c>
      <c r="G12" s="66">
        <f t="shared" si="6"/>
        <v>5</v>
      </c>
      <c r="H12" s="66">
        <f t="shared" si="7"/>
        <v>6</v>
      </c>
      <c r="I12" s="66">
        <f t="shared" si="8"/>
        <v>7</v>
      </c>
      <c r="J12" s="66">
        <f t="shared" si="9"/>
        <v>8</v>
      </c>
      <c r="K12" s="66">
        <f t="shared" si="10"/>
        <v>9</v>
      </c>
      <c r="L12" s="66">
        <f t="shared" si="11"/>
        <v>10</v>
      </c>
      <c r="M12" s="66">
        <f t="shared" si="12"/>
        <v>11</v>
      </c>
      <c r="N12" s="66">
        <f t="shared" si="13"/>
        <v>12</v>
      </c>
      <c r="O12" s="73">
        <f t="shared" si="14"/>
        <v>13</v>
      </c>
    </row>
    <row r="13" ht="30" customHeight="1" spans="1:15">
      <c r="A13" s="67">
        <v>0.1</v>
      </c>
      <c r="B13" s="64">
        <f t="shared" si="1"/>
        <v>1</v>
      </c>
      <c r="C13" s="64">
        <f t="shared" si="2"/>
        <v>2</v>
      </c>
      <c r="D13" s="64">
        <f t="shared" si="3"/>
        <v>3</v>
      </c>
      <c r="E13" s="64">
        <f t="shared" si="4"/>
        <v>4</v>
      </c>
      <c r="F13" s="64">
        <f t="shared" si="5"/>
        <v>5</v>
      </c>
      <c r="G13" s="64">
        <f t="shared" si="6"/>
        <v>6</v>
      </c>
      <c r="H13" s="64">
        <f t="shared" si="7"/>
        <v>7</v>
      </c>
      <c r="I13" s="64">
        <f t="shared" si="8"/>
        <v>8</v>
      </c>
      <c r="J13" s="64">
        <f t="shared" si="9"/>
        <v>9</v>
      </c>
      <c r="K13" s="64">
        <f t="shared" si="10"/>
        <v>10</v>
      </c>
      <c r="L13" s="64">
        <f t="shared" si="11"/>
        <v>11</v>
      </c>
      <c r="M13" s="64">
        <f t="shared" si="12"/>
        <v>12</v>
      </c>
      <c r="N13" s="64">
        <f t="shared" si="13"/>
        <v>13</v>
      </c>
      <c r="O13" s="72">
        <f t="shared" si="14"/>
        <v>14</v>
      </c>
    </row>
    <row r="14" ht="30" customHeight="1" spans="1:15">
      <c r="A14" s="65">
        <v>0.11</v>
      </c>
      <c r="B14" s="66">
        <f t="shared" si="1"/>
        <v>1</v>
      </c>
      <c r="C14" s="66">
        <f t="shared" si="2"/>
        <v>2</v>
      </c>
      <c r="D14" s="66">
        <f t="shared" si="3"/>
        <v>3</v>
      </c>
      <c r="E14" s="66">
        <f t="shared" si="4"/>
        <v>4</v>
      </c>
      <c r="F14" s="66">
        <f t="shared" si="5"/>
        <v>6</v>
      </c>
      <c r="G14" s="66">
        <f t="shared" si="6"/>
        <v>7</v>
      </c>
      <c r="H14" s="66">
        <f t="shared" si="7"/>
        <v>8</v>
      </c>
      <c r="I14" s="66">
        <f t="shared" si="8"/>
        <v>9</v>
      </c>
      <c r="J14" s="66">
        <f t="shared" si="9"/>
        <v>10</v>
      </c>
      <c r="K14" s="66">
        <f t="shared" si="10"/>
        <v>11</v>
      </c>
      <c r="L14" s="66">
        <f t="shared" si="11"/>
        <v>12</v>
      </c>
      <c r="M14" s="66">
        <f t="shared" si="12"/>
        <v>13</v>
      </c>
      <c r="N14" s="66">
        <f t="shared" si="13"/>
        <v>14</v>
      </c>
      <c r="O14" s="73">
        <f t="shared" si="14"/>
        <v>15</v>
      </c>
    </row>
    <row r="15" ht="30" customHeight="1" spans="1:15">
      <c r="A15" s="67">
        <v>0.12</v>
      </c>
      <c r="B15" s="64">
        <f t="shared" si="1"/>
        <v>1</v>
      </c>
      <c r="C15" s="64">
        <f t="shared" si="2"/>
        <v>2</v>
      </c>
      <c r="D15" s="64">
        <f t="shared" si="3"/>
        <v>4</v>
      </c>
      <c r="E15" s="64">
        <f t="shared" si="4"/>
        <v>5</v>
      </c>
      <c r="F15" s="64">
        <f t="shared" si="5"/>
        <v>6</v>
      </c>
      <c r="G15" s="64">
        <f t="shared" si="6"/>
        <v>7</v>
      </c>
      <c r="H15" s="64">
        <f t="shared" si="7"/>
        <v>8</v>
      </c>
      <c r="I15" s="64">
        <f t="shared" si="8"/>
        <v>10</v>
      </c>
      <c r="J15" s="64">
        <f t="shared" si="9"/>
        <v>11</v>
      </c>
      <c r="K15" s="64">
        <f t="shared" si="10"/>
        <v>12</v>
      </c>
      <c r="L15" s="64">
        <f t="shared" si="11"/>
        <v>13</v>
      </c>
      <c r="M15" s="64">
        <f t="shared" si="12"/>
        <v>14</v>
      </c>
      <c r="N15" s="64">
        <f t="shared" si="13"/>
        <v>16</v>
      </c>
      <c r="O15" s="72">
        <f t="shared" si="14"/>
        <v>17</v>
      </c>
    </row>
    <row r="16" ht="30" customHeight="1" spans="1:15">
      <c r="A16" s="65">
        <v>0.13</v>
      </c>
      <c r="B16" s="66">
        <f t="shared" si="1"/>
        <v>1</v>
      </c>
      <c r="C16" s="66">
        <f t="shared" si="2"/>
        <v>3</v>
      </c>
      <c r="D16" s="66">
        <f t="shared" si="3"/>
        <v>4</v>
      </c>
      <c r="E16" s="66">
        <f t="shared" si="4"/>
        <v>5</v>
      </c>
      <c r="F16" s="66">
        <f t="shared" si="5"/>
        <v>7</v>
      </c>
      <c r="G16" s="66">
        <f t="shared" si="6"/>
        <v>8</v>
      </c>
      <c r="H16" s="66">
        <f t="shared" si="7"/>
        <v>9</v>
      </c>
      <c r="I16" s="66">
        <f t="shared" si="8"/>
        <v>10</v>
      </c>
      <c r="J16" s="66">
        <f t="shared" si="9"/>
        <v>12</v>
      </c>
      <c r="K16" s="66">
        <f t="shared" si="10"/>
        <v>13</v>
      </c>
      <c r="L16" s="66">
        <f t="shared" si="11"/>
        <v>14</v>
      </c>
      <c r="M16" s="66">
        <f t="shared" si="12"/>
        <v>16</v>
      </c>
      <c r="N16" s="66">
        <f t="shared" si="13"/>
        <v>17</v>
      </c>
      <c r="O16" s="73">
        <f t="shared" si="14"/>
        <v>18</v>
      </c>
    </row>
    <row r="17" ht="30" customHeight="1" spans="1:15">
      <c r="A17" s="67">
        <v>0.14</v>
      </c>
      <c r="B17" s="64">
        <f t="shared" si="1"/>
        <v>1</v>
      </c>
      <c r="C17" s="64">
        <f t="shared" si="2"/>
        <v>3</v>
      </c>
      <c r="D17" s="64">
        <f t="shared" si="3"/>
        <v>4</v>
      </c>
      <c r="E17" s="64">
        <f t="shared" si="4"/>
        <v>6</v>
      </c>
      <c r="F17" s="64">
        <f t="shared" si="5"/>
        <v>7</v>
      </c>
      <c r="G17" s="64">
        <f t="shared" si="6"/>
        <v>8</v>
      </c>
      <c r="H17" s="64">
        <f t="shared" si="7"/>
        <v>10</v>
      </c>
      <c r="I17" s="64">
        <f t="shared" si="8"/>
        <v>11</v>
      </c>
      <c r="J17" s="64">
        <f t="shared" si="9"/>
        <v>13</v>
      </c>
      <c r="K17" s="64">
        <f t="shared" si="10"/>
        <v>14</v>
      </c>
      <c r="L17" s="64">
        <f t="shared" si="11"/>
        <v>15</v>
      </c>
      <c r="M17" s="64">
        <f t="shared" si="12"/>
        <v>17</v>
      </c>
      <c r="N17" s="64">
        <f t="shared" si="13"/>
        <v>18</v>
      </c>
      <c r="O17" s="72">
        <f t="shared" si="14"/>
        <v>20</v>
      </c>
    </row>
    <row r="18" ht="30" customHeight="1" spans="1:15">
      <c r="A18" s="65">
        <v>0.15</v>
      </c>
      <c r="B18" s="66">
        <f t="shared" si="1"/>
        <v>2</v>
      </c>
      <c r="C18" s="66">
        <f t="shared" si="2"/>
        <v>3</v>
      </c>
      <c r="D18" s="66">
        <f t="shared" si="3"/>
        <v>5</v>
      </c>
      <c r="E18" s="66">
        <f t="shared" si="4"/>
        <v>6</v>
      </c>
      <c r="F18" s="66">
        <f t="shared" si="5"/>
        <v>8</v>
      </c>
      <c r="G18" s="66">
        <f t="shared" si="6"/>
        <v>9</v>
      </c>
      <c r="H18" s="66">
        <f t="shared" si="7"/>
        <v>11</v>
      </c>
      <c r="I18" s="66">
        <f t="shared" si="8"/>
        <v>12</v>
      </c>
      <c r="J18" s="66">
        <f t="shared" si="9"/>
        <v>14</v>
      </c>
      <c r="K18" s="66">
        <f t="shared" si="10"/>
        <v>15</v>
      </c>
      <c r="L18" s="66">
        <f t="shared" si="11"/>
        <v>17</v>
      </c>
      <c r="M18" s="66">
        <f t="shared" si="12"/>
        <v>18</v>
      </c>
      <c r="N18" s="66">
        <f t="shared" si="13"/>
        <v>20</v>
      </c>
      <c r="O18" s="73">
        <f t="shared" si="14"/>
        <v>21</v>
      </c>
    </row>
    <row r="19" ht="30" customHeight="1" spans="1:15">
      <c r="A19" s="67">
        <v>0.16</v>
      </c>
      <c r="B19" s="64">
        <f t="shared" si="1"/>
        <v>2</v>
      </c>
      <c r="C19" s="64">
        <f t="shared" si="2"/>
        <v>3</v>
      </c>
      <c r="D19" s="64">
        <f t="shared" si="3"/>
        <v>5</v>
      </c>
      <c r="E19" s="64">
        <f t="shared" si="4"/>
        <v>6</v>
      </c>
      <c r="F19" s="64">
        <f t="shared" si="5"/>
        <v>8</v>
      </c>
      <c r="G19" s="64">
        <f t="shared" si="6"/>
        <v>10</v>
      </c>
      <c r="H19" s="64">
        <f t="shared" si="7"/>
        <v>11</v>
      </c>
      <c r="I19" s="64">
        <f t="shared" si="8"/>
        <v>13</v>
      </c>
      <c r="J19" s="64">
        <f t="shared" si="9"/>
        <v>14</v>
      </c>
      <c r="K19" s="64">
        <f t="shared" si="10"/>
        <v>16</v>
      </c>
      <c r="L19" s="64">
        <f t="shared" si="11"/>
        <v>18</v>
      </c>
      <c r="M19" s="64">
        <f t="shared" si="12"/>
        <v>19</v>
      </c>
      <c r="N19" s="64">
        <f t="shared" si="13"/>
        <v>21</v>
      </c>
      <c r="O19" s="72">
        <f t="shared" si="14"/>
        <v>22</v>
      </c>
    </row>
    <row r="20" ht="30" customHeight="1" spans="1:15">
      <c r="A20" s="65">
        <v>0.17</v>
      </c>
      <c r="B20" s="66">
        <f t="shared" si="1"/>
        <v>2</v>
      </c>
      <c r="C20" s="66">
        <f t="shared" si="2"/>
        <v>3</v>
      </c>
      <c r="D20" s="66">
        <f t="shared" si="3"/>
        <v>5</v>
      </c>
      <c r="E20" s="66">
        <f t="shared" si="4"/>
        <v>7</v>
      </c>
      <c r="F20" s="66">
        <f t="shared" si="5"/>
        <v>9</v>
      </c>
      <c r="G20" s="66">
        <f t="shared" si="6"/>
        <v>10</v>
      </c>
      <c r="H20" s="66">
        <f t="shared" si="7"/>
        <v>12</v>
      </c>
      <c r="I20" s="66">
        <f t="shared" si="8"/>
        <v>14</v>
      </c>
      <c r="J20" s="66">
        <f t="shared" si="9"/>
        <v>15</v>
      </c>
      <c r="K20" s="66">
        <f t="shared" si="10"/>
        <v>17</v>
      </c>
      <c r="L20" s="66">
        <f t="shared" si="11"/>
        <v>19</v>
      </c>
      <c r="M20" s="66">
        <f t="shared" si="12"/>
        <v>20</v>
      </c>
      <c r="N20" s="66">
        <f t="shared" si="13"/>
        <v>22</v>
      </c>
      <c r="O20" s="73">
        <f t="shared" si="14"/>
        <v>24</v>
      </c>
    </row>
    <row r="21" ht="30" customHeight="1" spans="1:15">
      <c r="A21" s="67">
        <v>0.18</v>
      </c>
      <c r="B21" s="64">
        <f t="shared" si="1"/>
        <v>2</v>
      </c>
      <c r="C21" s="64">
        <f t="shared" si="2"/>
        <v>4</v>
      </c>
      <c r="D21" s="64">
        <f t="shared" si="3"/>
        <v>5</v>
      </c>
      <c r="E21" s="64">
        <f t="shared" si="4"/>
        <v>7</v>
      </c>
      <c r="F21" s="64">
        <f t="shared" si="5"/>
        <v>9</v>
      </c>
      <c r="G21" s="64">
        <f t="shared" si="6"/>
        <v>11</v>
      </c>
      <c r="H21" s="64">
        <f t="shared" si="7"/>
        <v>13</v>
      </c>
      <c r="I21" s="64">
        <f t="shared" si="8"/>
        <v>14</v>
      </c>
      <c r="J21" s="64">
        <f t="shared" si="9"/>
        <v>16</v>
      </c>
      <c r="K21" s="64">
        <f t="shared" si="10"/>
        <v>18</v>
      </c>
      <c r="L21" s="64">
        <f t="shared" si="11"/>
        <v>20</v>
      </c>
      <c r="M21" s="64">
        <f t="shared" si="12"/>
        <v>22</v>
      </c>
      <c r="N21" s="64">
        <f t="shared" si="13"/>
        <v>23</v>
      </c>
      <c r="O21" s="72">
        <f t="shared" si="14"/>
        <v>25</v>
      </c>
    </row>
    <row r="22" ht="30" customHeight="1" spans="1:15">
      <c r="A22" s="65">
        <v>0.19</v>
      </c>
      <c r="B22" s="66">
        <f t="shared" si="1"/>
        <v>2</v>
      </c>
      <c r="C22" s="66">
        <f t="shared" si="2"/>
        <v>4</v>
      </c>
      <c r="D22" s="66">
        <f t="shared" si="3"/>
        <v>6</v>
      </c>
      <c r="E22" s="66">
        <f t="shared" si="4"/>
        <v>8</v>
      </c>
      <c r="F22" s="66">
        <f t="shared" si="5"/>
        <v>10</v>
      </c>
      <c r="G22" s="66">
        <f t="shared" si="6"/>
        <v>11</v>
      </c>
      <c r="H22" s="66">
        <f t="shared" si="7"/>
        <v>13</v>
      </c>
      <c r="I22" s="66">
        <f t="shared" si="8"/>
        <v>15</v>
      </c>
      <c r="J22" s="66">
        <f t="shared" si="9"/>
        <v>17</v>
      </c>
      <c r="K22" s="66">
        <f t="shared" si="10"/>
        <v>19</v>
      </c>
      <c r="L22" s="66">
        <f t="shared" si="11"/>
        <v>21</v>
      </c>
      <c r="M22" s="66">
        <f t="shared" si="12"/>
        <v>23</v>
      </c>
      <c r="N22" s="66">
        <f t="shared" si="13"/>
        <v>25</v>
      </c>
      <c r="O22" s="73">
        <f t="shared" si="14"/>
        <v>27</v>
      </c>
    </row>
    <row r="23" ht="30" customHeight="1" spans="1:15">
      <c r="A23" s="67">
        <v>0.2</v>
      </c>
      <c r="B23" s="64">
        <f t="shared" si="1"/>
        <v>2</v>
      </c>
      <c r="C23" s="64">
        <f t="shared" si="2"/>
        <v>4</v>
      </c>
      <c r="D23" s="64">
        <f t="shared" si="3"/>
        <v>6</v>
      </c>
      <c r="E23" s="64">
        <f t="shared" si="4"/>
        <v>8</v>
      </c>
      <c r="F23" s="64">
        <f t="shared" si="5"/>
        <v>10</v>
      </c>
      <c r="G23" s="64">
        <f t="shared" si="6"/>
        <v>12</v>
      </c>
      <c r="H23" s="64">
        <f t="shared" si="7"/>
        <v>14</v>
      </c>
      <c r="I23" s="64">
        <f t="shared" si="8"/>
        <v>16</v>
      </c>
      <c r="J23" s="64">
        <f t="shared" si="9"/>
        <v>18</v>
      </c>
      <c r="K23" s="64">
        <f t="shared" si="10"/>
        <v>20</v>
      </c>
      <c r="L23" s="64">
        <f t="shared" si="11"/>
        <v>22</v>
      </c>
      <c r="M23" s="64">
        <f t="shared" si="12"/>
        <v>24</v>
      </c>
      <c r="N23" s="64">
        <f t="shared" si="13"/>
        <v>26</v>
      </c>
      <c r="O23" s="72">
        <f t="shared" si="14"/>
        <v>28</v>
      </c>
    </row>
    <row r="24" ht="30" customHeight="1" spans="1:15">
      <c r="A24" s="65">
        <v>0.21</v>
      </c>
      <c r="B24" s="66">
        <f t="shared" si="1"/>
        <v>2</v>
      </c>
      <c r="C24" s="66">
        <f t="shared" si="2"/>
        <v>4</v>
      </c>
      <c r="D24" s="66">
        <f t="shared" si="3"/>
        <v>6</v>
      </c>
      <c r="E24" s="66">
        <f t="shared" si="4"/>
        <v>8</v>
      </c>
      <c r="F24" s="66">
        <f t="shared" si="5"/>
        <v>11</v>
      </c>
      <c r="G24" s="66">
        <f t="shared" si="6"/>
        <v>13</v>
      </c>
      <c r="H24" s="66">
        <f t="shared" si="7"/>
        <v>15</v>
      </c>
      <c r="I24" s="66">
        <f t="shared" si="8"/>
        <v>17</v>
      </c>
      <c r="J24" s="66">
        <f t="shared" si="9"/>
        <v>19</v>
      </c>
      <c r="K24" s="66">
        <f t="shared" si="10"/>
        <v>21</v>
      </c>
      <c r="L24" s="66">
        <f t="shared" si="11"/>
        <v>23</v>
      </c>
      <c r="M24" s="66">
        <f t="shared" si="12"/>
        <v>25</v>
      </c>
      <c r="N24" s="66">
        <f t="shared" si="13"/>
        <v>27</v>
      </c>
      <c r="O24" s="73">
        <f t="shared" si="14"/>
        <v>29</v>
      </c>
    </row>
    <row r="25" ht="30" customHeight="1" spans="1:15">
      <c r="A25" s="67">
        <v>0.22</v>
      </c>
      <c r="B25" s="64">
        <f t="shared" si="1"/>
        <v>2</v>
      </c>
      <c r="C25" s="64">
        <f t="shared" si="2"/>
        <v>4</v>
      </c>
      <c r="D25" s="64">
        <f t="shared" si="3"/>
        <v>7</v>
      </c>
      <c r="E25" s="64">
        <f t="shared" si="4"/>
        <v>9</v>
      </c>
      <c r="F25" s="64">
        <f t="shared" si="5"/>
        <v>11</v>
      </c>
      <c r="G25" s="64">
        <f t="shared" si="6"/>
        <v>13</v>
      </c>
      <c r="H25" s="64">
        <f t="shared" si="7"/>
        <v>15</v>
      </c>
      <c r="I25" s="64">
        <f t="shared" si="8"/>
        <v>18</v>
      </c>
      <c r="J25" s="64">
        <f t="shared" si="9"/>
        <v>20</v>
      </c>
      <c r="K25" s="64">
        <f t="shared" si="10"/>
        <v>22</v>
      </c>
      <c r="L25" s="64">
        <f t="shared" si="11"/>
        <v>24</v>
      </c>
      <c r="M25" s="64">
        <f t="shared" si="12"/>
        <v>26</v>
      </c>
      <c r="N25" s="64">
        <f t="shared" si="13"/>
        <v>29</v>
      </c>
      <c r="O25" s="72">
        <f t="shared" si="14"/>
        <v>31</v>
      </c>
    </row>
    <row r="26" ht="30" customHeight="1" spans="1:15">
      <c r="A26" s="65">
        <v>0.23</v>
      </c>
      <c r="B26" s="66">
        <f t="shared" si="1"/>
        <v>2</v>
      </c>
      <c r="C26" s="66">
        <f t="shared" si="2"/>
        <v>5</v>
      </c>
      <c r="D26" s="66">
        <f t="shared" si="3"/>
        <v>7</v>
      </c>
      <c r="E26" s="66">
        <f t="shared" si="4"/>
        <v>9</v>
      </c>
      <c r="F26" s="66">
        <f t="shared" si="5"/>
        <v>12</v>
      </c>
      <c r="G26" s="66">
        <f t="shared" si="6"/>
        <v>14</v>
      </c>
      <c r="H26" s="66">
        <f t="shared" si="7"/>
        <v>16</v>
      </c>
      <c r="I26" s="66">
        <f t="shared" si="8"/>
        <v>18</v>
      </c>
      <c r="J26" s="66">
        <f t="shared" si="9"/>
        <v>21</v>
      </c>
      <c r="K26" s="66">
        <f t="shared" si="10"/>
        <v>23</v>
      </c>
      <c r="L26" s="66">
        <f t="shared" si="11"/>
        <v>25</v>
      </c>
      <c r="M26" s="66">
        <f t="shared" si="12"/>
        <v>28</v>
      </c>
      <c r="N26" s="66">
        <f t="shared" si="13"/>
        <v>30</v>
      </c>
      <c r="O26" s="73">
        <f t="shared" si="14"/>
        <v>32</v>
      </c>
    </row>
    <row r="27" ht="30" customHeight="1" spans="1:15">
      <c r="A27" s="67">
        <v>0.24</v>
      </c>
      <c r="B27" s="64">
        <f t="shared" si="1"/>
        <v>2</v>
      </c>
      <c r="C27" s="64">
        <f t="shared" si="2"/>
        <v>5</v>
      </c>
      <c r="D27" s="64">
        <f t="shared" si="3"/>
        <v>7</v>
      </c>
      <c r="E27" s="64">
        <f t="shared" si="4"/>
        <v>10</v>
      </c>
      <c r="F27" s="64">
        <f t="shared" si="5"/>
        <v>12</v>
      </c>
      <c r="G27" s="64">
        <f t="shared" si="6"/>
        <v>14</v>
      </c>
      <c r="H27" s="64">
        <f t="shared" si="7"/>
        <v>17</v>
      </c>
      <c r="I27" s="64">
        <f t="shared" si="8"/>
        <v>19</v>
      </c>
      <c r="J27" s="64">
        <f t="shared" si="9"/>
        <v>22</v>
      </c>
      <c r="K27" s="64">
        <f t="shared" si="10"/>
        <v>24</v>
      </c>
      <c r="L27" s="64">
        <f t="shared" si="11"/>
        <v>26</v>
      </c>
      <c r="M27" s="64">
        <f t="shared" si="12"/>
        <v>29</v>
      </c>
      <c r="N27" s="64">
        <f t="shared" si="13"/>
        <v>31</v>
      </c>
      <c r="O27" s="72">
        <f t="shared" si="14"/>
        <v>34</v>
      </c>
    </row>
    <row r="28" ht="30" customHeight="1" spans="1:15">
      <c r="A28" s="65">
        <v>0.25</v>
      </c>
      <c r="B28" s="66">
        <f t="shared" si="1"/>
        <v>3</v>
      </c>
      <c r="C28" s="66">
        <f t="shared" si="2"/>
        <v>5</v>
      </c>
      <c r="D28" s="66">
        <f t="shared" si="3"/>
        <v>8</v>
      </c>
      <c r="E28" s="66">
        <f t="shared" si="4"/>
        <v>10</v>
      </c>
      <c r="F28" s="66">
        <f t="shared" si="5"/>
        <v>13</v>
      </c>
      <c r="G28" s="66">
        <f t="shared" si="6"/>
        <v>15</v>
      </c>
      <c r="H28" s="66">
        <f t="shared" si="7"/>
        <v>18</v>
      </c>
      <c r="I28" s="66">
        <f t="shared" si="8"/>
        <v>20</v>
      </c>
      <c r="J28" s="66">
        <f t="shared" si="9"/>
        <v>23</v>
      </c>
      <c r="K28" s="66">
        <f t="shared" si="10"/>
        <v>25</v>
      </c>
      <c r="L28" s="66">
        <f t="shared" si="11"/>
        <v>28</v>
      </c>
      <c r="M28" s="66">
        <f t="shared" si="12"/>
        <v>30</v>
      </c>
      <c r="N28" s="66">
        <f t="shared" si="13"/>
        <v>33</v>
      </c>
      <c r="O28" s="73">
        <f t="shared" si="14"/>
        <v>35</v>
      </c>
    </row>
    <row r="29" ht="30" customHeight="1" spans="1:15">
      <c r="A29" s="67">
        <v>0.26</v>
      </c>
      <c r="B29" s="64">
        <f t="shared" si="1"/>
        <v>3</v>
      </c>
      <c r="C29" s="64">
        <f t="shared" si="2"/>
        <v>5</v>
      </c>
      <c r="D29" s="64">
        <f t="shared" si="3"/>
        <v>8</v>
      </c>
      <c r="E29" s="64">
        <f t="shared" si="4"/>
        <v>10</v>
      </c>
      <c r="F29" s="64">
        <f t="shared" si="5"/>
        <v>13</v>
      </c>
      <c r="G29" s="64">
        <f t="shared" si="6"/>
        <v>16</v>
      </c>
      <c r="H29" s="64">
        <f t="shared" si="7"/>
        <v>18</v>
      </c>
      <c r="I29" s="64">
        <f t="shared" si="8"/>
        <v>21</v>
      </c>
      <c r="J29" s="64">
        <f t="shared" si="9"/>
        <v>23</v>
      </c>
      <c r="K29" s="64">
        <f t="shared" si="10"/>
        <v>26</v>
      </c>
      <c r="L29" s="64">
        <f t="shared" si="11"/>
        <v>29</v>
      </c>
      <c r="M29" s="64">
        <f t="shared" si="12"/>
        <v>31</v>
      </c>
      <c r="N29" s="64">
        <f t="shared" si="13"/>
        <v>34</v>
      </c>
      <c r="O29" s="72">
        <f t="shared" si="14"/>
        <v>36</v>
      </c>
    </row>
    <row r="30" ht="30" customHeight="1" spans="1:15">
      <c r="A30" s="65">
        <v>0.27</v>
      </c>
      <c r="B30" s="66">
        <f t="shared" si="1"/>
        <v>3</v>
      </c>
      <c r="C30" s="66">
        <f t="shared" si="2"/>
        <v>5</v>
      </c>
      <c r="D30" s="66">
        <f t="shared" si="3"/>
        <v>8</v>
      </c>
      <c r="E30" s="66">
        <f t="shared" si="4"/>
        <v>11</v>
      </c>
      <c r="F30" s="66">
        <f t="shared" si="5"/>
        <v>14</v>
      </c>
      <c r="G30" s="66">
        <f t="shared" si="6"/>
        <v>16</v>
      </c>
      <c r="H30" s="66">
        <f t="shared" si="7"/>
        <v>19</v>
      </c>
      <c r="I30" s="66">
        <f t="shared" si="8"/>
        <v>22</v>
      </c>
      <c r="J30" s="66">
        <f t="shared" si="9"/>
        <v>24</v>
      </c>
      <c r="K30" s="66">
        <f t="shared" si="10"/>
        <v>27</v>
      </c>
      <c r="L30" s="66">
        <f t="shared" si="11"/>
        <v>30</v>
      </c>
      <c r="M30" s="66">
        <f t="shared" si="12"/>
        <v>32</v>
      </c>
      <c r="N30" s="66">
        <f t="shared" si="13"/>
        <v>35</v>
      </c>
      <c r="O30" s="73">
        <f t="shared" si="14"/>
        <v>38</v>
      </c>
    </row>
    <row r="31" ht="30" customHeight="1" spans="1:15">
      <c r="A31" s="67">
        <v>0.28</v>
      </c>
      <c r="B31" s="64">
        <f t="shared" si="1"/>
        <v>3</v>
      </c>
      <c r="C31" s="64">
        <f t="shared" si="2"/>
        <v>6</v>
      </c>
      <c r="D31" s="64">
        <f t="shared" si="3"/>
        <v>8</v>
      </c>
      <c r="E31" s="64">
        <f t="shared" si="4"/>
        <v>11</v>
      </c>
      <c r="F31" s="64">
        <f t="shared" si="5"/>
        <v>14</v>
      </c>
      <c r="G31" s="64">
        <f t="shared" si="6"/>
        <v>17</v>
      </c>
      <c r="H31" s="64">
        <f t="shared" si="7"/>
        <v>20</v>
      </c>
      <c r="I31" s="64">
        <f t="shared" si="8"/>
        <v>22</v>
      </c>
      <c r="J31" s="64">
        <f t="shared" si="9"/>
        <v>25</v>
      </c>
      <c r="K31" s="64">
        <f t="shared" si="10"/>
        <v>28</v>
      </c>
      <c r="L31" s="64">
        <f t="shared" si="11"/>
        <v>31</v>
      </c>
      <c r="M31" s="64">
        <f t="shared" si="12"/>
        <v>34</v>
      </c>
      <c r="N31" s="64">
        <f t="shared" si="13"/>
        <v>36</v>
      </c>
      <c r="O31" s="72">
        <f t="shared" si="14"/>
        <v>39</v>
      </c>
    </row>
    <row r="32" ht="30" customHeight="1" spans="1:15">
      <c r="A32" s="65">
        <v>0.29</v>
      </c>
      <c r="B32" s="66">
        <f t="shared" si="1"/>
        <v>3</v>
      </c>
      <c r="C32" s="66">
        <f t="shared" si="2"/>
        <v>6</v>
      </c>
      <c r="D32" s="66">
        <f t="shared" si="3"/>
        <v>9</v>
      </c>
      <c r="E32" s="66">
        <f t="shared" si="4"/>
        <v>12</v>
      </c>
      <c r="F32" s="66">
        <f t="shared" si="5"/>
        <v>15</v>
      </c>
      <c r="G32" s="66">
        <f t="shared" si="6"/>
        <v>17</v>
      </c>
      <c r="H32" s="66">
        <f t="shared" si="7"/>
        <v>20</v>
      </c>
      <c r="I32" s="66">
        <f t="shared" si="8"/>
        <v>23</v>
      </c>
      <c r="J32" s="66">
        <f t="shared" si="9"/>
        <v>26</v>
      </c>
      <c r="K32" s="66">
        <f t="shared" si="10"/>
        <v>29</v>
      </c>
      <c r="L32" s="66">
        <f t="shared" si="11"/>
        <v>32</v>
      </c>
      <c r="M32" s="66">
        <f t="shared" si="12"/>
        <v>35</v>
      </c>
      <c r="N32" s="66">
        <f t="shared" si="13"/>
        <v>38</v>
      </c>
      <c r="O32" s="73">
        <f t="shared" si="14"/>
        <v>41</v>
      </c>
    </row>
    <row r="33" ht="30" customHeight="1" spans="1:15">
      <c r="A33" s="68">
        <v>0.3</v>
      </c>
      <c r="B33" s="69">
        <f t="shared" si="1"/>
        <v>3</v>
      </c>
      <c r="C33" s="69">
        <f t="shared" si="2"/>
        <v>6</v>
      </c>
      <c r="D33" s="69">
        <f t="shared" si="3"/>
        <v>9</v>
      </c>
      <c r="E33" s="69">
        <f t="shared" si="4"/>
        <v>12</v>
      </c>
      <c r="F33" s="69">
        <f t="shared" si="5"/>
        <v>15</v>
      </c>
      <c r="G33" s="69">
        <f t="shared" si="6"/>
        <v>18</v>
      </c>
      <c r="H33" s="69">
        <f t="shared" si="7"/>
        <v>21</v>
      </c>
      <c r="I33" s="69">
        <f t="shared" si="8"/>
        <v>24</v>
      </c>
      <c r="J33" s="69">
        <f t="shared" si="9"/>
        <v>27</v>
      </c>
      <c r="K33" s="69">
        <f t="shared" si="10"/>
        <v>30</v>
      </c>
      <c r="L33" s="69">
        <f t="shared" si="11"/>
        <v>33</v>
      </c>
      <c r="M33" s="69">
        <f t="shared" si="12"/>
        <v>36</v>
      </c>
      <c r="N33" s="69">
        <f t="shared" si="13"/>
        <v>39</v>
      </c>
      <c r="O33" s="74">
        <f t="shared" si="14"/>
        <v>42</v>
      </c>
    </row>
  </sheetData>
  <mergeCells count="1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Q1:Q2"/>
    <mergeCell ref="R1:R2"/>
    <mergeCell ref="S1:S2"/>
    <mergeCell ref="W1:W2"/>
  </mergeCells>
  <pageMargins left="0.7" right="0.7" top="0.75" bottom="0.75" header="0.3" footer="0.3"/>
  <pageSetup paperSize="9" scale="50" orientation="landscape"/>
  <headerFooter/>
  <ignoredErrors>
    <ignoredError sqref="Q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40"/>
  <sheetViews>
    <sheetView tabSelected="1" workbookViewId="0">
      <selection activeCell="F39" sqref="F39"/>
    </sheetView>
  </sheetViews>
  <sheetFormatPr defaultColWidth="9" defaultRowHeight="20.25" customHeight="1" outlineLevelCol="1"/>
  <cols>
    <col min="1" max="1" width="39.625" style="38" customWidth="1"/>
    <col min="2" max="2" width="9.5" style="38" customWidth="1"/>
    <col min="3" max="16384" width="9" style="38"/>
  </cols>
  <sheetData>
    <row r="1" customHeight="1" spans="1:2">
      <c r="A1" s="39" t="s">
        <v>130</v>
      </c>
      <c r="B1" s="40" t="s">
        <v>131</v>
      </c>
    </row>
    <row r="2" customHeight="1" spans="1:2">
      <c r="A2" s="41" t="s">
        <v>132</v>
      </c>
      <c r="B2" s="42" t="s">
        <v>133</v>
      </c>
    </row>
    <row r="3" customHeight="1" spans="1:2">
      <c r="A3" s="41" t="s">
        <v>134</v>
      </c>
      <c r="B3" s="42" t="s">
        <v>135</v>
      </c>
    </row>
    <row r="4" customHeight="1" spans="1:2">
      <c r="A4" s="41" t="s">
        <v>136</v>
      </c>
      <c r="B4" s="42" t="s">
        <v>135</v>
      </c>
    </row>
    <row r="5" customHeight="1" spans="1:2">
      <c r="A5" s="41"/>
      <c r="B5" s="42"/>
    </row>
    <row r="6" customHeight="1" spans="1:2">
      <c r="A6" s="41" t="s">
        <v>137</v>
      </c>
      <c r="B6" s="42" t="s">
        <v>133</v>
      </c>
    </row>
    <row r="7" customHeight="1" spans="1:2">
      <c r="A7" s="41" t="s">
        <v>138</v>
      </c>
      <c r="B7" s="43">
        <v>-0.03</v>
      </c>
    </row>
    <row r="8" customHeight="1" spans="1:2">
      <c r="A8" s="44"/>
      <c r="B8" s="45"/>
    </row>
    <row r="9" customHeight="1" spans="1:2">
      <c r="A9" s="41" t="s">
        <v>139</v>
      </c>
      <c r="B9" s="42" t="s">
        <v>140</v>
      </c>
    </row>
    <row r="10" customHeight="1" spans="1:2">
      <c r="A10" s="44"/>
      <c r="B10" s="45"/>
    </row>
    <row r="11" customHeight="1" spans="1:2">
      <c r="A11" s="41" t="s">
        <v>141</v>
      </c>
      <c r="B11" s="42" t="s">
        <v>142</v>
      </c>
    </row>
    <row r="12" customHeight="1" spans="1:2">
      <c r="A12" s="41" t="s">
        <v>143</v>
      </c>
      <c r="B12" s="42" t="s">
        <v>144</v>
      </c>
    </row>
    <row r="13" customHeight="1" spans="1:2">
      <c r="A13" s="41"/>
      <c r="B13" s="46"/>
    </row>
    <row r="14" customHeight="1" spans="1:2">
      <c r="A14" s="41" t="s">
        <v>145</v>
      </c>
      <c r="B14" s="42" t="s">
        <v>144</v>
      </c>
    </row>
    <row r="15" customHeight="1" spans="1:2">
      <c r="A15" s="41"/>
      <c r="B15" s="46"/>
    </row>
    <row r="16" customHeight="1" spans="1:2">
      <c r="A16" s="41" t="s">
        <v>146</v>
      </c>
      <c r="B16" s="42" t="s">
        <v>144</v>
      </c>
    </row>
    <row r="17" customHeight="1" spans="1:2">
      <c r="A17" s="41"/>
      <c r="B17" s="46"/>
    </row>
    <row r="18" customHeight="1" spans="1:2">
      <c r="A18" s="41" t="s">
        <v>147</v>
      </c>
      <c r="B18" s="42" t="s">
        <v>133</v>
      </c>
    </row>
    <row r="19" customHeight="1" spans="1:2">
      <c r="A19" s="41" t="s">
        <v>148</v>
      </c>
      <c r="B19" s="42" t="s">
        <v>140</v>
      </c>
    </row>
    <row r="20" customHeight="1" spans="1:2">
      <c r="A20" s="41"/>
      <c r="B20" s="46"/>
    </row>
    <row r="21" customHeight="1" spans="1:2">
      <c r="A21" s="41" t="s">
        <v>149</v>
      </c>
      <c r="B21" s="42" t="s">
        <v>135</v>
      </c>
    </row>
    <row r="22" customHeight="1" spans="1:2">
      <c r="A22" s="41" t="s">
        <v>150</v>
      </c>
      <c r="B22" s="42" t="s">
        <v>144</v>
      </c>
    </row>
    <row r="23" customHeight="1" spans="1:2">
      <c r="A23" s="41" t="s">
        <v>151</v>
      </c>
      <c r="B23" s="42" t="s">
        <v>133</v>
      </c>
    </row>
    <row r="24" customHeight="1" spans="1:2">
      <c r="A24" s="41" t="s">
        <v>152</v>
      </c>
      <c r="B24" s="42" t="s">
        <v>153</v>
      </c>
    </row>
    <row r="25" customHeight="1" spans="1:2">
      <c r="A25" s="41"/>
      <c r="B25" s="42"/>
    </row>
    <row r="26" customHeight="1" spans="1:2">
      <c r="A26" s="41" t="s">
        <v>154</v>
      </c>
      <c r="B26" s="42" t="s">
        <v>155</v>
      </c>
    </row>
    <row r="27" customHeight="1" spans="1:2">
      <c r="A27" s="47" t="s">
        <v>156</v>
      </c>
      <c r="B27" s="48" t="s">
        <v>157</v>
      </c>
    </row>
    <row r="28" customHeight="1" spans="1:2">
      <c r="A28" s="49"/>
      <c r="B28" s="50"/>
    </row>
    <row r="29" customHeight="1" spans="1:2">
      <c r="A29" s="41"/>
      <c r="B29" s="46"/>
    </row>
    <row r="30" customHeight="1" spans="1:2">
      <c r="A30" s="41" t="s">
        <v>158</v>
      </c>
      <c r="B30" s="42" t="s">
        <v>135</v>
      </c>
    </row>
    <row r="31" customHeight="1" spans="1:2">
      <c r="A31" s="41" t="s">
        <v>159</v>
      </c>
      <c r="B31" s="42" t="s">
        <v>133</v>
      </c>
    </row>
    <row r="32" customHeight="1" spans="1:2">
      <c r="A32" s="41" t="s">
        <v>160</v>
      </c>
      <c r="B32" s="42" t="s">
        <v>161</v>
      </c>
    </row>
    <row r="33" customHeight="1" spans="1:2">
      <c r="A33" s="41" t="s">
        <v>162</v>
      </c>
      <c r="B33" s="42" t="s">
        <v>163</v>
      </c>
    </row>
    <row r="34" customHeight="1" spans="1:2">
      <c r="A34" s="51" t="s">
        <v>164</v>
      </c>
      <c r="B34" s="52"/>
    </row>
    <row r="35" customHeight="1" spans="1:2">
      <c r="A35" s="53" t="s">
        <v>165</v>
      </c>
      <c r="B35" s="53"/>
    </row>
    <row r="36" customHeight="1" spans="1:2">
      <c r="A36" s="53" t="s">
        <v>166</v>
      </c>
      <c r="B36" s="53"/>
    </row>
    <row r="37" customHeight="1" spans="1:2">
      <c r="A37" s="53" t="s">
        <v>167</v>
      </c>
      <c r="B37" s="53"/>
    </row>
    <row r="38" customHeight="1" spans="1:2">
      <c r="A38" s="53" t="s">
        <v>168</v>
      </c>
      <c r="B38" s="53"/>
    </row>
    <row r="39" customHeight="1" spans="1:2">
      <c r="A39" s="53" t="s">
        <v>169</v>
      </c>
      <c r="B39" s="53"/>
    </row>
    <row r="40" customHeight="1" spans="1:2">
      <c r="A40" s="54" t="s">
        <v>170</v>
      </c>
      <c r="B40" s="55"/>
    </row>
  </sheetData>
  <mergeCells count="9">
    <mergeCell ref="A34:B34"/>
    <mergeCell ref="A35:B35"/>
    <mergeCell ref="A36:B36"/>
    <mergeCell ref="A37:B37"/>
    <mergeCell ref="A38:B38"/>
    <mergeCell ref="A39:B39"/>
    <mergeCell ref="A40:B40"/>
    <mergeCell ref="A27:A28"/>
    <mergeCell ref="B27:B28"/>
  </mergeCells>
  <pageMargins left="0.75" right="0.75" top="1" bottom="1" header="0.5" footer="0.5"/>
  <headerFooter/>
  <ignoredErrors>
    <ignoredError sqref="B29:B31 B11:B24 B2:B4 B6:B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45" zoomScaleNormal="145" workbookViewId="0">
      <selection activeCell="C7" sqref="C7"/>
    </sheetView>
  </sheetViews>
  <sheetFormatPr defaultColWidth="9" defaultRowHeight="15" outlineLevelCol="7"/>
  <cols>
    <col min="1" max="1" width="34.875" style="23" customWidth="1"/>
    <col min="2" max="2" width="9.75" style="23" customWidth="1"/>
    <col min="3" max="3" width="8.375" style="23" customWidth="1"/>
    <col min="4" max="4" width="7.125" style="23" customWidth="1"/>
    <col min="5" max="5" width="9.75" style="23" customWidth="1"/>
    <col min="6" max="6" width="9" style="23"/>
    <col min="7" max="7" width="7.375" style="23" customWidth="1"/>
    <col min="8" max="16384" width="9" style="23"/>
  </cols>
  <sheetData>
    <row r="1" spans="1:8">
      <c r="A1" s="24" t="s">
        <v>0</v>
      </c>
      <c r="B1" s="3" t="s">
        <v>171</v>
      </c>
      <c r="C1" s="3"/>
      <c r="D1" s="3"/>
      <c r="E1" s="3"/>
      <c r="H1" s="25" t="s">
        <v>172</v>
      </c>
    </row>
    <row r="2" spans="1:8">
      <c r="A2" s="24"/>
      <c r="B2" s="3" t="s">
        <v>6</v>
      </c>
      <c r="C2" s="3" t="s">
        <v>7</v>
      </c>
      <c r="D2" s="3" t="s">
        <v>8</v>
      </c>
      <c r="E2" s="3" t="s">
        <v>9</v>
      </c>
      <c r="H2" s="25" t="s">
        <v>173</v>
      </c>
    </row>
    <row r="3" ht="15.75" spans="1:8">
      <c r="A3" s="24" t="s">
        <v>174</v>
      </c>
      <c r="B3" s="26" t="s">
        <v>175</v>
      </c>
      <c r="C3" s="26" t="s">
        <v>176</v>
      </c>
      <c r="D3" s="27" t="s">
        <v>177</v>
      </c>
      <c r="E3" s="27" t="s">
        <v>178</v>
      </c>
      <c r="H3" s="25" t="s">
        <v>179</v>
      </c>
    </row>
    <row r="4" ht="15.75" spans="1:8">
      <c r="A4" s="24" t="s">
        <v>180</v>
      </c>
      <c r="B4" s="26" t="s">
        <v>175</v>
      </c>
      <c r="C4" s="26" t="s">
        <v>176</v>
      </c>
      <c r="D4" s="27" t="s">
        <v>177</v>
      </c>
      <c r="E4" s="27" t="s">
        <v>178</v>
      </c>
      <c r="H4" s="25" t="s">
        <v>181</v>
      </c>
    </row>
    <row r="5" ht="15.75" spans="1:8">
      <c r="A5" s="24" t="s">
        <v>182</v>
      </c>
      <c r="B5" s="27" t="s">
        <v>183</v>
      </c>
      <c r="C5" s="26" t="s">
        <v>175</v>
      </c>
      <c r="D5" s="27" t="s">
        <v>184</v>
      </c>
      <c r="E5" s="28"/>
      <c r="H5" s="25" t="s">
        <v>185</v>
      </c>
    </row>
    <row r="6" ht="15.75" spans="1:8">
      <c r="A6" s="24" t="s">
        <v>186</v>
      </c>
      <c r="B6" s="27" t="s">
        <v>187</v>
      </c>
      <c r="C6" s="26" t="s">
        <v>188</v>
      </c>
      <c r="D6" s="27" t="s">
        <v>183</v>
      </c>
      <c r="E6" s="28"/>
      <c r="H6" s="25" t="s">
        <v>189</v>
      </c>
    </row>
    <row r="7" ht="15.75" spans="1:8">
      <c r="A7" s="24" t="s">
        <v>190</v>
      </c>
      <c r="B7" s="27" t="s">
        <v>187</v>
      </c>
      <c r="C7" s="26" t="s">
        <v>188</v>
      </c>
      <c r="D7" s="27" t="s">
        <v>183</v>
      </c>
      <c r="E7" s="28"/>
      <c r="H7" s="25" t="s">
        <v>191</v>
      </c>
    </row>
    <row r="8" ht="15.75" spans="1:5">
      <c r="A8" s="24" t="s">
        <v>192</v>
      </c>
      <c r="B8" s="27" t="s">
        <v>193</v>
      </c>
      <c r="C8" s="27" t="s">
        <v>187</v>
      </c>
      <c r="D8" s="27" t="s">
        <v>194</v>
      </c>
      <c r="E8" s="27" t="s">
        <v>195</v>
      </c>
    </row>
    <row r="9" ht="15.75" spans="1:5">
      <c r="A9" s="24" t="s">
        <v>196</v>
      </c>
      <c r="B9" s="27" t="s">
        <v>193</v>
      </c>
      <c r="C9" s="27" t="s">
        <v>187</v>
      </c>
      <c r="D9" s="27" t="s">
        <v>194</v>
      </c>
      <c r="E9" s="28"/>
    </row>
    <row r="11" spans="1:5">
      <c r="A11" s="24" t="s">
        <v>0</v>
      </c>
      <c r="B11" s="3" t="s">
        <v>171</v>
      </c>
      <c r="C11" s="3"/>
      <c r="D11" s="3"/>
      <c r="E11" s="3"/>
    </row>
    <row r="12" spans="1:5">
      <c r="A12" s="24"/>
      <c r="B12" s="3" t="s">
        <v>6</v>
      </c>
      <c r="C12" s="3" t="s">
        <v>7</v>
      </c>
      <c r="D12" s="3" t="s">
        <v>8</v>
      </c>
      <c r="E12" s="3" t="s">
        <v>9</v>
      </c>
    </row>
    <row r="13" ht="15.75" spans="1:5">
      <c r="A13" s="24" t="s">
        <v>197</v>
      </c>
      <c r="B13" s="27" t="s">
        <v>184</v>
      </c>
      <c r="C13" s="26" t="s">
        <v>198</v>
      </c>
      <c r="D13" s="27" t="s">
        <v>177</v>
      </c>
      <c r="E13" s="27" t="s">
        <v>199</v>
      </c>
    </row>
    <row r="14" ht="15.75" spans="1:5">
      <c r="A14" s="24" t="s">
        <v>200</v>
      </c>
      <c r="B14" s="26" t="s">
        <v>175</v>
      </c>
      <c r="C14" s="26" t="s">
        <v>176</v>
      </c>
      <c r="D14" s="27" t="s">
        <v>177</v>
      </c>
      <c r="E14" s="28"/>
    </row>
    <row r="15" ht="15.75" spans="1:5">
      <c r="A15" s="24" t="s">
        <v>201</v>
      </c>
      <c r="B15" s="27" t="s">
        <v>187</v>
      </c>
      <c r="C15" s="26" t="s">
        <v>188</v>
      </c>
      <c r="D15" s="27" t="s">
        <v>183</v>
      </c>
      <c r="E15" s="28"/>
    </row>
    <row r="16" ht="15.75" spans="1:5">
      <c r="A16" s="29" t="s">
        <v>202</v>
      </c>
      <c r="B16" s="27" t="s">
        <v>203</v>
      </c>
      <c r="C16" s="27" t="s">
        <v>204</v>
      </c>
      <c r="D16" s="27" t="s">
        <v>205</v>
      </c>
      <c r="E16" s="30"/>
    </row>
    <row r="17" ht="15.75" spans="1:5">
      <c r="A17" s="31"/>
      <c r="B17" s="32"/>
      <c r="C17" s="32"/>
      <c r="D17" s="32"/>
      <c r="E17" s="32"/>
    </row>
    <row r="18" ht="15.75" spans="1:4">
      <c r="A18" s="33" t="s">
        <v>206</v>
      </c>
      <c r="B18" s="34"/>
      <c r="D18" s="34"/>
    </row>
    <row r="19" ht="15.75" spans="1:4">
      <c r="A19" s="35" t="s">
        <v>207</v>
      </c>
      <c r="B19" s="34"/>
      <c r="D19" s="34"/>
    </row>
    <row r="20" ht="15.75" spans="1:1">
      <c r="A20" s="36" t="s">
        <v>208</v>
      </c>
    </row>
    <row r="21" spans="1:1">
      <c r="A21" s="37"/>
    </row>
  </sheetData>
  <mergeCells count="4">
    <mergeCell ref="B1:E1"/>
    <mergeCell ref="B11:E11"/>
    <mergeCell ref="A1:A2"/>
    <mergeCell ref="A11:A12"/>
  </mergeCells>
  <pageMargins left="0.7" right="0.7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zoomScale="175" zoomScaleNormal="175" workbookViewId="0">
      <selection activeCell="F7" sqref="F7"/>
    </sheetView>
  </sheetViews>
  <sheetFormatPr defaultColWidth="9" defaultRowHeight="30" customHeight="1" outlineLevelCol="5"/>
  <cols>
    <col min="1" max="1" width="20.625" customWidth="1"/>
    <col min="2" max="5" width="15.625" customWidth="1"/>
  </cols>
  <sheetData>
    <row r="1" ht="20" customHeight="1" spans="1:6">
      <c r="A1" s="1" t="s">
        <v>209</v>
      </c>
      <c r="B1" s="2" t="s">
        <v>210</v>
      </c>
      <c r="C1" s="3"/>
      <c r="D1" s="3"/>
      <c r="E1" s="3"/>
      <c r="F1" s="4" t="s">
        <v>211</v>
      </c>
    </row>
    <row r="2" ht="20" customHeight="1" spans="1:6">
      <c r="A2" s="5"/>
      <c r="B2" s="3" t="s">
        <v>212</v>
      </c>
      <c r="C2" s="3" t="s">
        <v>213</v>
      </c>
      <c r="D2" s="3" t="s">
        <v>214</v>
      </c>
      <c r="E2" s="3" t="s">
        <v>215</v>
      </c>
      <c r="F2" s="4"/>
    </row>
    <row r="3" customHeight="1" spans="1:6">
      <c r="A3" s="5" t="s">
        <v>212</v>
      </c>
      <c r="B3" s="6" t="s">
        <v>216</v>
      </c>
      <c r="C3" s="6" t="s">
        <v>217</v>
      </c>
      <c r="D3" s="6" t="s">
        <v>218</v>
      </c>
      <c r="E3" s="6" t="s">
        <v>218</v>
      </c>
      <c r="F3" s="4" t="s">
        <v>219</v>
      </c>
    </row>
    <row r="4" customHeight="1" spans="1:6">
      <c r="A4" s="5" t="s">
        <v>213</v>
      </c>
      <c r="B4" s="6" t="s">
        <v>216</v>
      </c>
      <c r="C4" s="6" t="s">
        <v>216</v>
      </c>
      <c r="D4" s="6" t="s">
        <v>217</v>
      </c>
      <c r="E4" s="6" t="s">
        <v>218</v>
      </c>
      <c r="F4" s="4" t="s">
        <v>220</v>
      </c>
    </row>
    <row r="5" customHeight="1" spans="1:6">
      <c r="A5" s="5" t="s">
        <v>214</v>
      </c>
      <c r="B5" s="6" t="s">
        <v>216</v>
      </c>
      <c r="C5" s="6" t="s">
        <v>216</v>
      </c>
      <c r="D5" s="6" t="s">
        <v>216</v>
      </c>
      <c r="E5" s="6" t="s">
        <v>217</v>
      </c>
      <c r="F5" s="4" t="s">
        <v>221</v>
      </c>
    </row>
    <row r="6" customHeight="1" spans="1:6">
      <c r="A6" s="5" t="s">
        <v>215</v>
      </c>
      <c r="B6" s="6" t="s">
        <v>216</v>
      </c>
      <c r="C6" s="6" t="s">
        <v>216</v>
      </c>
      <c r="D6" s="6" t="s">
        <v>217</v>
      </c>
      <c r="E6" s="6" t="s">
        <v>218</v>
      </c>
      <c r="F6" s="4" t="s">
        <v>221</v>
      </c>
    </row>
    <row r="7" customHeight="1" spans="1:5">
      <c r="A7" s="7"/>
      <c r="B7" s="8"/>
      <c r="C7" s="9"/>
      <c r="D7" s="8"/>
      <c r="E7" s="10"/>
    </row>
    <row r="8" customHeight="1" spans="1:6">
      <c r="A8" s="1" t="s">
        <v>222</v>
      </c>
      <c r="B8" s="2" t="s">
        <v>223</v>
      </c>
      <c r="C8" s="11"/>
      <c r="D8" s="1" t="s">
        <v>224</v>
      </c>
      <c r="E8" s="2" t="s">
        <v>225</v>
      </c>
      <c r="F8" s="12"/>
    </row>
    <row r="9" customHeight="1" spans="1:6">
      <c r="A9" s="13" t="s">
        <v>226</v>
      </c>
      <c r="B9" s="14">
        <v>2</v>
      </c>
      <c r="C9" s="10"/>
      <c r="D9" s="13">
        <v>1</v>
      </c>
      <c r="E9" s="14">
        <v>0.5</v>
      </c>
      <c r="F9" s="12"/>
    </row>
    <row r="10" customHeight="1" spans="1:6">
      <c r="A10" s="13" t="s">
        <v>227</v>
      </c>
      <c r="B10" s="14">
        <v>1.5</v>
      </c>
      <c r="C10" s="10"/>
      <c r="D10" s="13">
        <v>2</v>
      </c>
      <c r="E10" s="14">
        <v>0.75</v>
      </c>
      <c r="F10" s="12"/>
    </row>
    <row r="11" customHeight="1" spans="1:6">
      <c r="A11" s="13" t="s">
        <v>228</v>
      </c>
      <c r="B11" s="14">
        <v>1</v>
      </c>
      <c r="C11" s="15"/>
      <c r="D11" s="13">
        <v>3</v>
      </c>
      <c r="E11" s="14">
        <v>1</v>
      </c>
      <c r="F11" s="12"/>
    </row>
    <row r="12" customHeight="1" spans="1:6">
      <c r="A12" s="16" t="s">
        <v>229</v>
      </c>
      <c r="B12" s="17">
        <v>0.5</v>
      </c>
      <c r="C12" s="15"/>
      <c r="D12" s="16">
        <v>4</v>
      </c>
      <c r="E12" s="17">
        <v>1</v>
      </c>
      <c r="F12" s="12"/>
    </row>
    <row r="13" customHeight="1" spans="1:6">
      <c r="A13" s="18"/>
      <c r="B13" s="19"/>
      <c r="C13" s="15"/>
      <c r="D13" s="16">
        <v>5</v>
      </c>
      <c r="E13" s="17">
        <v>1.25</v>
      </c>
      <c r="F13" s="12"/>
    </row>
    <row r="14" customHeight="1" spans="1:6">
      <c r="A14" s="20"/>
      <c r="B14" s="21"/>
      <c r="C14" s="15"/>
      <c r="D14" s="13">
        <v>6</v>
      </c>
      <c r="E14" s="14">
        <v>1.5</v>
      </c>
      <c r="F14" s="12"/>
    </row>
    <row r="15" customHeight="1" spans="1:6">
      <c r="A15" s="12"/>
      <c r="B15" s="12"/>
      <c r="C15" s="12"/>
      <c r="D15" s="12"/>
      <c r="E15" s="12"/>
      <c r="F15" s="12"/>
    </row>
    <row r="16" customHeight="1" spans="1:6">
      <c r="A16" s="12"/>
      <c r="B16" s="12"/>
      <c r="C16" s="12"/>
      <c r="D16" s="12"/>
      <c r="E16" s="12"/>
      <c r="F16" s="12"/>
    </row>
    <row r="17" customHeight="1" spans="1:5">
      <c r="A17" s="7"/>
      <c r="B17" s="8"/>
      <c r="C17" s="8"/>
      <c r="D17" s="8"/>
      <c r="E17" s="10"/>
    </row>
    <row r="18" customHeight="1" spans="1:5">
      <c r="A18" s="22"/>
      <c r="B18" s="22"/>
      <c r="C18" s="22"/>
      <c r="D18" s="22"/>
      <c r="E18" s="22"/>
    </row>
  </sheetData>
  <mergeCells count="3">
    <mergeCell ref="B1:E1"/>
    <mergeCell ref="A1:A2"/>
    <mergeCell ref="F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损伤表</vt:lpstr>
      <vt:lpstr>命中表 </vt:lpstr>
      <vt:lpstr>命中修正表</vt:lpstr>
      <vt:lpstr>甲弹表</vt:lpstr>
      <vt:lpstr>中口径结算表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</cp:lastModifiedBy>
  <dcterms:created xsi:type="dcterms:W3CDTF">2023-05-12T11:15:00Z</dcterms:created>
  <dcterms:modified xsi:type="dcterms:W3CDTF">2026-06-19T10:35:46Z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C5A6B3AE1D8A4BE9BABC1F2959369D19_12</vt:lpwstr>
  </property>
</Properties>
</file>