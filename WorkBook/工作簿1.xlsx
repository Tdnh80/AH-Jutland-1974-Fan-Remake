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960" firstSheet="2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<sst xmlns="http://schemas.openxmlformats.org/spreadsheetml/2006/main" count="324" uniqueCount="154">
  <si>
    <t>火炮型号</t>
  </si>
  <si>
    <t>距离（码）</t>
  </si>
  <si>
    <t>穿深</t>
  </si>
  <si>
    <t>12"/45 (30.5 cm) Mark X</t>
  </si>
  <si>
    <t>12"/45 (30.6 cm) Mark X</t>
  </si>
  <si>
    <t>12"/45 (30.7 cm) Mark X</t>
  </si>
  <si>
    <t>12"/50 (30.5 cm) Marks XI, XI* and XII</t>
  </si>
  <si>
    <t>12"/45 (30.8 cm) Mark X</t>
  </si>
  <si>
    <t>12"/50 (30.6 cm) Marks XI, XI* and XII</t>
  </si>
  <si>
    <t>12"/45 (30.9 cm) Mark X</t>
  </si>
  <si>
    <t>13.5"/45 (34.3 cm) Mark V(H)</t>
  </si>
  <si>
    <t>12"/45 (30.10 cm) Mark X</t>
  </si>
  <si>
    <t>13.5"/45 (34.4 cm) Mark V(H)</t>
  </si>
  <si>
    <t>12"/45 (30.11 cm) Mark X</t>
  </si>
  <si>
    <t>13.5"/45 (34.3 cm) Mark V(L)</t>
  </si>
  <si>
    <t>12"/45 (30.12 cm) Mark X</t>
  </si>
  <si>
    <t>13.5"/45 (34.4 cm) Mark V(L)</t>
  </si>
  <si>
    <t>12"/45 (30.13 cm) Mark X</t>
  </si>
  <si>
    <t>12"/50 (30.7 cm) Marks XI, XI* and XII</t>
  </si>
  <si>
    <t>12"/50 (30.8 cm) Marks XI, XI* and XII</t>
  </si>
  <si>
    <t>12"/50 (30.9 cm) Marks XI, XI* and XII</t>
  </si>
  <si>
    <t>12"/50 (30.10 cm) Marks XI, XI* and XII</t>
  </si>
  <si>
    <t>12"/50 (30.11 cm) Marks XI, XI* and XII</t>
  </si>
  <si>
    <t>12"/45 (30.5 cm) Elswick Pattern L</t>
  </si>
  <si>
    <t>12"/45 (30.6 cm) Elswick Pattern L</t>
  </si>
  <si>
    <t>12"/45 (30.7 cm) Elswick Pattern L</t>
  </si>
  <si>
    <t>13.5"/45 (34.5 cm) Mark V(H)</t>
  </si>
  <si>
    <t>13.5"/45 (34.6 cm) Mark V(H)</t>
  </si>
  <si>
    <t>13.5"/45 (34.5 cm) Mark V(L)</t>
  </si>
  <si>
    <t>13.5"/45 (34.6 cm) Mark V(L)</t>
  </si>
  <si>
    <t>15"/42 (38.1 cm) Mark I</t>
  </si>
  <si>
    <t>15"/42 (38.2 cm) Mark I</t>
  </si>
  <si>
    <t>15"/42 (38.3 cm) Mark I</t>
  </si>
  <si>
    <t>15"/42 (38.4 cm) Mark I</t>
  </si>
  <si>
    <t>15"/42 (38.5 cm) Mark I</t>
  </si>
  <si>
    <t>15"/42 (38.6 cm) Mark I</t>
  </si>
  <si>
    <t>年份</t>
  </si>
  <si>
    <t>国家</t>
  </si>
  <si>
    <t>级别</t>
  </si>
  <si>
    <t>Class</t>
  </si>
  <si>
    <t>0-10</t>
  </si>
  <si>
    <t>10-20</t>
  </si>
  <si>
    <t>20-30</t>
  </si>
  <si>
    <t>30-40</t>
  </si>
  <si>
    <t>英国</t>
  </si>
  <si>
    <t>无畏</t>
  </si>
  <si>
    <t>Dreadnought</t>
  </si>
  <si>
    <t>D</t>
  </si>
  <si>
    <t>珀勒洛丰</t>
  </si>
  <si>
    <t>Bellerophon</t>
  </si>
  <si>
    <t>E</t>
  </si>
  <si>
    <t>圣文森特</t>
  </si>
  <si>
    <t>St. Vincent</t>
  </si>
  <si>
    <t>海王星</t>
  </si>
  <si>
    <t>Neptune</t>
  </si>
  <si>
    <t>巨像</t>
  </si>
  <si>
    <t>Colossus</t>
  </si>
  <si>
    <t>猎户座</t>
  </si>
  <si>
    <t>Orion</t>
  </si>
  <si>
    <t>乔治五世</t>
  </si>
  <si>
    <t>King George V</t>
  </si>
  <si>
    <t>铁公爵</t>
  </si>
  <si>
    <t>Iron Duke</t>
  </si>
  <si>
    <t>爱尔兰</t>
  </si>
  <si>
    <t>Erin</t>
  </si>
  <si>
    <t>加拿大</t>
  </si>
  <si>
    <t>Canada</t>
  </si>
  <si>
    <t>阿金库尔</t>
  </si>
  <si>
    <t>Agincourt</t>
  </si>
  <si>
    <t>复仇</t>
  </si>
  <si>
    <t>Revenge</t>
  </si>
  <si>
    <t>伊丽莎白女王</t>
  </si>
  <si>
    <t>Queen Elizabeth</t>
  </si>
  <si>
    <t>无敌</t>
  </si>
  <si>
    <t>Invincible</t>
  </si>
  <si>
    <t>G</t>
  </si>
  <si>
    <t>不倦</t>
  </si>
  <si>
    <t>Indefatigable</t>
  </si>
  <si>
    <t>澳、新西兰</t>
  </si>
  <si>
    <t>狮</t>
  </si>
  <si>
    <t>Lion</t>
  </si>
  <si>
    <t>虎</t>
  </si>
  <si>
    <t>Tiger</t>
  </si>
  <si>
    <t>5=6</t>
  </si>
  <si>
    <t>speed-2</t>
  </si>
  <si>
    <t>speed-5</t>
  </si>
  <si>
    <t>speed-8</t>
  </si>
  <si>
    <t>sinking</t>
  </si>
  <si>
    <t>德国</t>
  </si>
  <si>
    <t>拿骚</t>
  </si>
  <si>
    <t>Nassau</t>
  </si>
  <si>
    <t>C</t>
  </si>
  <si>
    <t>赫尔戈兰</t>
  </si>
  <si>
    <t>Helgoland</t>
  </si>
  <si>
    <t>凯撒</t>
  </si>
  <si>
    <t>Kaiser</t>
  </si>
  <si>
    <t>B</t>
  </si>
  <si>
    <t>国王</t>
  </si>
  <si>
    <t>König</t>
  </si>
  <si>
    <t>拜仁</t>
  </si>
  <si>
    <t>Bayern</t>
  </si>
  <si>
    <t>A</t>
  </si>
  <si>
    <t>冯·德·坦恩</t>
  </si>
  <si>
    <t>Von Der Tann</t>
  </si>
  <si>
    <t>F</t>
  </si>
  <si>
    <t>毛奇</t>
  </si>
  <si>
    <t>Moltke</t>
  </si>
  <si>
    <t>赛德利茨</t>
  </si>
  <si>
    <t>Seydlitz</t>
  </si>
  <si>
    <t>10=9</t>
  </si>
  <si>
    <t>德弗林格尔</t>
  </si>
  <si>
    <t>Derfflinger</t>
  </si>
  <si>
    <t>9=8</t>
  </si>
  <si>
    <t>德意志</t>
  </si>
  <si>
    <t>Deutschland</t>
  </si>
  <si>
    <t>数值</t>
  </si>
  <si>
    <t>无敌、不倦、澳、新西兰</t>
  </si>
  <si>
    <t>珀勒洛丰、圣文森特、冯·德·坦恩</t>
  </si>
  <si>
    <t>无畏、珀勒洛丰、圣文森特、冯·德·坦恩</t>
  </si>
  <si>
    <t>无畏、珀勒洛丰、圣文森特、加拿大、狮、虎、冯·德·坦恩</t>
  </si>
  <si>
    <t>无畏、海王星、巨像、加拿大、阿金库尔、狮、虎</t>
  </si>
  <si>
    <t>海王星、巨像、加拿大、阿金库尔、狮、虎、拿骚</t>
  </si>
  <si>
    <t>海王星、巨像、阿金库尔、拿骚</t>
  </si>
  <si>
    <t>无畏、加拿大、阿金库尔、狮、虎</t>
  </si>
  <si>
    <t>猎户座、乔治五世、铁公爵、拿骚、赫尔戈兰</t>
  </si>
  <si>
    <t>猎户座、乔治五世、铁公爵、爱尔兰、伊丽莎白女王、赫尔戈兰、毛奇</t>
  </si>
  <si>
    <t>海王星、巨像、猎户座、乔治五世、拿骚、赫尔戈兰</t>
  </si>
  <si>
    <t>爱尔兰、伊丽莎白女王、毛奇</t>
  </si>
  <si>
    <t>复仇、赛德利茨</t>
  </si>
  <si>
    <t>铁公爵、爱尔兰、伊丽莎白女王、毛奇</t>
  </si>
  <si>
    <t>复仇、凯撒、国王、赛德利茨</t>
  </si>
  <si>
    <t>凯撒、国王、拜仁、德弗林格尔</t>
  </si>
  <si>
    <t>凯撒、国王、拜仁、赛德利茨、德弗林格尔</t>
  </si>
  <si>
    <t>拜仁、德弗林格尔</t>
  </si>
  <si>
    <t>28 cm/45 (11") SK L/45</t>
  </si>
  <si>
    <t>6100m</t>
  </si>
  <si>
    <t>10000m</t>
  </si>
  <si>
    <t>12000m</t>
  </si>
  <si>
    <t>28 cm/50 (11") SK L/50</t>
  </si>
  <si>
    <t>11100m</t>
  </si>
  <si>
    <t>10800m</t>
  </si>
  <si>
    <t>30.5 cm/50 (12") SK L/50</t>
  </si>
  <si>
    <t>11700m</t>
  </si>
  <si>
    <t>10100m</t>
  </si>
  <si>
    <t>8700m</t>
  </si>
  <si>
    <t>7300m</t>
  </si>
  <si>
    <t>12800m</t>
  </si>
  <si>
    <t>15000m</t>
  </si>
  <si>
    <t>38 cm/45 (14.96") SK L/45</t>
  </si>
  <si>
    <t>9400m</t>
  </si>
  <si>
    <t>12500m</t>
  </si>
  <si>
    <t>20000m</t>
  </si>
  <si>
    <t>25000m</t>
  </si>
  <si>
    <t>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</si>
</sst>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176" fontId="1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7" fontId="1" fillId="0" borderId="0" xfId="0" applyNumberFormat="1" applyFont="1" applyAlignment="1">
      <alignment horizontal="right"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6"/>
  <sheetViews>
    <sheetView workbookViewId="0">
      <selection activeCell="B24" sqref="B24"/>
    </sheetView>
  </sheetViews>
  <sheetFormatPr defaultColWidth="9" defaultRowHeight="13.5"/>
  <cols>
    <col min="1" max="1" width="42.625" customWidth="1"/>
    <col min="2" max="2" width="10.875" customWidth="1"/>
    <col min="3" max="3" width="5.125" customWidth="1"/>
  </cols>
  <sheetData>
    <row r="1" spans="1:10">
      <c r="A1" s="3" t="s">
        <v>0</v>
      </c>
      <c r="B1" s="3" t="s">
        <v>1</v>
      </c>
      <c r="C1" s="3" t="s">
        <v>2</v>
      </c>
      <c r="D1" s="3"/>
      <c r="H1" s="3" t="s">
        <v>0</v>
      </c>
      <c r="I1" s="3" t="s">
        <v>1</v>
      </c>
      <c r="J1" s="3" t="s">
        <v>2</v>
      </c>
    </row>
    <row r="2" spans="1:10">
      <c r="A2" s="3" t="s">
        <v>3</v>
      </c>
      <c r="B2" s="3">
        <v>8570</v>
      </c>
      <c r="C2" s="3">
        <v>305</v>
      </c>
      <c r="D2" s="3"/>
      <c r="H2" s="3" t="s">
        <v>3</v>
      </c>
      <c r="I2" s="3">
        <v>8570</v>
      </c>
      <c r="J2" s="3">
        <v>305</v>
      </c>
    </row>
    <row r="3" spans="1:10">
      <c r="A3" s="3" t="s">
        <v>4</v>
      </c>
      <c r="B3" s="3">
        <v>7300</v>
      </c>
      <c r="C3" s="3">
        <v>352</v>
      </c>
      <c r="D3" s="3"/>
      <c r="H3" s="3" t="s">
        <v>4</v>
      </c>
      <c r="I3" s="3">
        <v>7300</v>
      </c>
      <c r="J3" s="3">
        <v>352</v>
      </c>
    </row>
    <row r="4" spans="1:10">
      <c r="A4" s="3" t="s">
        <v>5</v>
      </c>
      <c r="B4" s="3">
        <v>6000</v>
      </c>
      <c r="C4" s="3">
        <v>305</v>
      </c>
      <c r="D4" s="3"/>
      <c r="H4" s="3" t="s">
        <v>6</v>
      </c>
      <c r="I4" s="3">
        <v>10200</v>
      </c>
      <c r="J4" s="3">
        <v>305</v>
      </c>
    </row>
    <row r="5" spans="1:10">
      <c r="A5" s="3" t="s">
        <v>7</v>
      </c>
      <c r="B5" s="3">
        <v>8000</v>
      </c>
      <c r="C5" s="3">
        <v>266</v>
      </c>
      <c r="D5" s="3"/>
      <c r="H5" s="3" t="s">
        <v>8</v>
      </c>
      <c r="I5" s="3">
        <v>8400</v>
      </c>
      <c r="J5" s="3">
        <v>352</v>
      </c>
    </row>
    <row r="6" spans="1:10">
      <c r="A6" s="3" t="s">
        <v>9</v>
      </c>
      <c r="B6" s="3">
        <v>10000</v>
      </c>
      <c r="C6" s="3">
        <v>228</v>
      </c>
      <c r="D6" s="3"/>
      <c r="H6" s="3" t="s">
        <v>10</v>
      </c>
      <c r="I6" s="3">
        <v>16400</v>
      </c>
      <c r="J6" s="3">
        <v>305</v>
      </c>
    </row>
    <row r="7" spans="1:10">
      <c r="A7" s="3" t="s">
        <v>11</v>
      </c>
      <c r="B7" s="3">
        <v>12000</v>
      </c>
      <c r="C7" s="3">
        <v>203</v>
      </c>
      <c r="D7" s="3"/>
      <c r="H7" s="3" t="s">
        <v>12</v>
      </c>
      <c r="I7" s="3">
        <v>11400</v>
      </c>
      <c r="J7" s="3">
        <v>352</v>
      </c>
    </row>
    <row r="8" spans="1:10">
      <c r="A8" s="3" t="s">
        <v>13</v>
      </c>
      <c r="B8" s="3">
        <v>0</v>
      </c>
      <c r="C8" s="3">
        <v>406</v>
      </c>
      <c r="D8" s="3"/>
      <c r="H8" s="3" t="s">
        <v>14</v>
      </c>
      <c r="I8" s="3">
        <v>14000</v>
      </c>
      <c r="J8" s="3">
        <v>305</v>
      </c>
    </row>
    <row r="9" spans="1:10">
      <c r="A9" s="3" t="s">
        <v>15</v>
      </c>
      <c r="B9" s="3">
        <v>7600</v>
      </c>
      <c r="C9" s="3">
        <v>305</v>
      </c>
      <c r="D9" s="3"/>
      <c r="H9" s="3" t="s">
        <v>16</v>
      </c>
      <c r="I9" s="3">
        <v>9300</v>
      </c>
      <c r="J9" s="3">
        <v>352</v>
      </c>
    </row>
    <row r="10" spans="1:4">
      <c r="A10" s="3" t="s">
        <v>17</v>
      </c>
      <c r="B10" s="3">
        <v>10000</v>
      </c>
      <c r="C10" s="3">
        <v>269</v>
      </c>
      <c r="D10" s="3"/>
    </row>
    <row r="11" spans="1:4">
      <c r="A11" s="3" t="s">
        <v>6</v>
      </c>
      <c r="B11" s="3">
        <v>10200</v>
      </c>
      <c r="C11" s="3">
        <v>305</v>
      </c>
      <c r="D11" s="3"/>
    </row>
    <row r="12" spans="1:4">
      <c r="A12" s="3" t="s">
        <v>8</v>
      </c>
      <c r="B12" s="3">
        <v>8400</v>
      </c>
      <c r="C12" s="3">
        <v>352</v>
      </c>
      <c r="D12" s="3"/>
    </row>
    <row r="13" spans="1:4">
      <c r="A13" s="3" t="s">
        <v>18</v>
      </c>
      <c r="B13" s="3">
        <v>8000</v>
      </c>
      <c r="C13" s="3">
        <v>305</v>
      </c>
      <c r="D13" s="3"/>
    </row>
    <row r="14" spans="1:4">
      <c r="A14" s="3" t="s">
        <v>19</v>
      </c>
      <c r="B14" s="3">
        <v>10000</v>
      </c>
      <c r="C14" s="3">
        <v>244</v>
      </c>
      <c r="D14" s="3"/>
    </row>
    <row r="15" spans="1:4">
      <c r="A15" s="3" t="s">
        <v>20</v>
      </c>
      <c r="B15" s="3">
        <v>12000</v>
      </c>
      <c r="C15" s="3">
        <v>228</v>
      </c>
      <c r="D15" s="3"/>
    </row>
    <row r="16" spans="1:4">
      <c r="A16" s="3" t="s">
        <v>21</v>
      </c>
      <c r="B16" s="3">
        <v>0</v>
      </c>
      <c r="C16" s="3">
        <v>427</v>
      </c>
      <c r="D16" s="3"/>
    </row>
    <row r="17" spans="1:4">
      <c r="A17" s="3" t="s">
        <v>22</v>
      </c>
      <c r="B17" s="3">
        <v>10000</v>
      </c>
      <c r="C17" s="3">
        <v>284</v>
      </c>
      <c r="D17" s="3"/>
    </row>
    <row r="18" spans="1:4">
      <c r="A18" s="3" t="s">
        <v>23</v>
      </c>
      <c r="B18" s="3">
        <v>0</v>
      </c>
      <c r="C18" s="3">
        <v>406</v>
      </c>
      <c r="D18" s="3"/>
    </row>
    <row r="19" spans="1:4">
      <c r="A19" s="3" t="s">
        <v>24</v>
      </c>
      <c r="B19" s="3">
        <v>7600</v>
      </c>
      <c r="C19" s="3">
        <v>305</v>
      </c>
      <c r="D19" s="3"/>
    </row>
    <row r="20" spans="1:4">
      <c r="A20" s="3" t="s">
        <v>25</v>
      </c>
      <c r="B20" s="3">
        <v>10000</v>
      </c>
      <c r="C20" s="3">
        <v>269</v>
      </c>
      <c r="D20" s="3"/>
    </row>
    <row r="21" spans="1:4">
      <c r="A21" s="3" t="s">
        <v>10</v>
      </c>
      <c r="B21" s="3">
        <v>16400</v>
      </c>
      <c r="C21" s="3">
        <v>305</v>
      </c>
      <c r="D21" s="3"/>
    </row>
    <row r="22" spans="1:4">
      <c r="A22" s="3" t="s">
        <v>12</v>
      </c>
      <c r="B22" s="3">
        <v>11400</v>
      </c>
      <c r="C22" s="3">
        <v>352</v>
      </c>
      <c r="D22" s="3"/>
    </row>
    <row r="23" spans="1:4">
      <c r="A23" s="3" t="s">
        <v>26</v>
      </c>
      <c r="B23" s="3">
        <v>0</v>
      </c>
      <c r="C23" s="3">
        <v>439</v>
      </c>
      <c r="D23" s="3"/>
    </row>
    <row r="24" spans="1:4">
      <c r="A24" s="3" t="s">
        <v>27</v>
      </c>
      <c r="B24" s="3">
        <v>10000</v>
      </c>
      <c r="C24" s="3">
        <v>318</v>
      </c>
      <c r="D24" s="3"/>
    </row>
    <row r="25" spans="1:4">
      <c r="A25" s="3" t="s">
        <v>14</v>
      </c>
      <c r="B25" s="3">
        <v>14000</v>
      </c>
      <c r="C25" s="3">
        <v>305</v>
      </c>
      <c r="D25" s="3"/>
    </row>
    <row r="26" spans="1:4">
      <c r="A26" s="3" t="s">
        <v>16</v>
      </c>
      <c r="B26" s="3">
        <v>9300</v>
      </c>
      <c r="C26" s="3">
        <v>352</v>
      </c>
      <c r="D26" s="3"/>
    </row>
    <row r="27" spans="1:4">
      <c r="A27" s="3" t="s">
        <v>28</v>
      </c>
      <c r="B27" s="3">
        <v>0</v>
      </c>
      <c r="C27" s="3">
        <v>439</v>
      </c>
      <c r="D27" s="3"/>
    </row>
    <row r="28" spans="1:4">
      <c r="A28" s="3" t="s">
        <v>29</v>
      </c>
      <c r="B28" s="3">
        <v>10000</v>
      </c>
      <c r="C28" s="3">
        <v>310</v>
      </c>
      <c r="D28" s="3"/>
    </row>
    <row r="29" spans="1:4">
      <c r="A29" s="3" t="s">
        <v>30</v>
      </c>
      <c r="B29" s="3">
        <v>8629</v>
      </c>
      <c r="C29" s="3">
        <v>406</v>
      </c>
      <c r="D29" s="3"/>
    </row>
    <row r="30" spans="1:4">
      <c r="A30" s="3" t="s">
        <v>31</v>
      </c>
      <c r="B30" s="3">
        <v>14853</v>
      </c>
      <c r="C30" s="3">
        <v>305</v>
      </c>
      <c r="D30" s="3"/>
    </row>
    <row r="31" spans="1:4">
      <c r="A31" s="3" t="s">
        <v>32</v>
      </c>
      <c r="B31" s="3">
        <v>19707</v>
      </c>
      <c r="C31" s="3">
        <v>279</v>
      </c>
      <c r="D31" s="3"/>
    </row>
    <row r="32" spans="1:4">
      <c r="A32" s="3" t="s">
        <v>33</v>
      </c>
      <c r="B32" s="3">
        <v>23734</v>
      </c>
      <c r="C32" s="3">
        <v>229</v>
      </c>
      <c r="D32" s="3"/>
    </row>
    <row r="33" spans="1:4">
      <c r="A33" s="3" t="s">
        <v>34</v>
      </c>
      <c r="B33" s="3">
        <v>0</v>
      </c>
      <c r="C33" s="3">
        <v>457</v>
      </c>
      <c r="D33" s="3"/>
    </row>
    <row r="34" spans="1:4">
      <c r="A34" s="3" t="s">
        <v>35</v>
      </c>
      <c r="B34" s="3">
        <v>10000</v>
      </c>
      <c r="C34" s="3">
        <v>356</v>
      </c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zoomScale="130" zoomScaleNormal="130" workbookViewId="0">
      <selection activeCell="P22" sqref="P22"/>
    </sheetView>
  </sheetViews>
  <sheetFormatPr defaultColWidth="9" defaultRowHeight="14.25"/>
  <cols>
    <col min="1" max="9" width="9" style="2"/>
    <col min="10" max="10" width="10.375" style="2"/>
    <col min="11" max="16384" width="9" style="2"/>
  </cols>
  <sheetData>
    <row r="1" spans="1:8">
      <c r="A1" s="1" t="s">
        <v>36</v>
      </c>
      <c r="B1" s="1" t="s">
        <v>37</v>
      </c>
      <c r="C1" s="1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</row>
    <row r="2" spans="1:18">
      <c r="A2" s="1">
        <v>1916</v>
      </c>
      <c r="B2" s="1" t="s">
        <v>44</v>
      </c>
      <c r="C2" s="1" t="s">
        <v>45</v>
      </c>
      <c r="D2" s="2" t="s">
        <v>46</v>
      </c>
      <c r="E2" s="14">
        <v>5</v>
      </c>
      <c r="F2" s="14">
        <v>6</v>
      </c>
      <c r="G2" s="14">
        <v>5</v>
      </c>
      <c r="H2" s="14">
        <v>4</v>
      </c>
      <c r="I2" s="2" t="s">
        <v>47</v>
      </c>
      <c r="J2" s="15">
        <v>120</v>
      </c>
      <c r="K2" s="16">
        <v>70</v>
      </c>
      <c r="L2" s="16">
        <v>50</v>
      </c>
      <c r="M2" s="17">
        <v>25</v>
      </c>
      <c r="O2" s="2">
        <f>J2/5</f>
        <v>24</v>
      </c>
      <c r="P2" s="2">
        <f>K2/5</f>
        <v>14</v>
      </c>
      <c r="Q2" s="2">
        <f>L2/5</f>
        <v>10</v>
      </c>
      <c r="R2" s="2">
        <f>M2/5</f>
        <v>5</v>
      </c>
    </row>
    <row r="3" spans="1:18">
      <c r="A3" s="1">
        <v>1916</v>
      </c>
      <c r="B3" s="1" t="s">
        <v>44</v>
      </c>
      <c r="C3" s="1" t="s">
        <v>48</v>
      </c>
      <c r="D3" s="2" t="s">
        <v>49</v>
      </c>
      <c r="E3" s="14">
        <v>5</v>
      </c>
      <c r="F3" s="14">
        <v>5</v>
      </c>
      <c r="G3" s="14">
        <v>4</v>
      </c>
      <c r="H3" s="14">
        <v>4</v>
      </c>
      <c r="I3" s="2" t="s">
        <v>50</v>
      </c>
      <c r="J3" s="15">
        <v>125</v>
      </c>
      <c r="K3" s="16">
        <f>J3*0.6</f>
        <v>75</v>
      </c>
      <c r="L3" s="16">
        <f>J3*0.4</f>
        <v>50</v>
      </c>
      <c r="M3" s="17">
        <f>J3*0.2</f>
        <v>25</v>
      </c>
      <c r="O3" s="2">
        <f t="shared" ref="O3:O32" si="0">J3/5</f>
        <v>25</v>
      </c>
      <c r="P3" s="2">
        <f t="shared" ref="P3:P19" si="1">K3/5</f>
        <v>15</v>
      </c>
      <c r="Q3" s="2">
        <f>L3/5</f>
        <v>10</v>
      </c>
      <c r="R3" s="2">
        <f>M3/5</f>
        <v>5</v>
      </c>
    </row>
    <row r="4" spans="1:18">
      <c r="A4" s="1">
        <v>1916</v>
      </c>
      <c r="B4" s="1" t="s">
        <v>44</v>
      </c>
      <c r="C4" s="1" t="s">
        <v>51</v>
      </c>
      <c r="D4" s="2" t="s">
        <v>52</v>
      </c>
      <c r="E4" s="14">
        <v>5</v>
      </c>
      <c r="F4" s="14">
        <v>5</v>
      </c>
      <c r="G4" s="14">
        <v>4</v>
      </c>
      <c r="H4" s="14">
        <v>4</v>
      </c>
      <c r="I4" s="2" t="s">
        <v>50</v>
      </c>
      <c r="J4" s="15">
        <v>130</v>
      </c>
      <c r="K4" s="16">
        <v>80</v>
      </c>
      <c r="L4" s="16">
        <v>50</v>
      </c>
      <c r="M4" s="17">
        <v>25</v>
      </c>
      <c r="O4" s="2">
        <f t="shared" si="0"/>
        <v>26</v>
      </c>
      <c r="P4" s="2">
        <f t="shared" si="1"/>
        <v>16</v>
      </c>
      <c r="Q4" s="2">
        <f>L4/5</f>
        <v>10</v>
      </c>
      <c r="R4" s="2">
        <f>M4/5</f>
        <v>5</v>
      </c>
    </row>
    <row r="5" spans="1:18">
      <c r="A5" s="1">
        <v>1916</v>
      </c>
      <c r="B5" s="1" t="s">
        <v>44</v>
      </c>
      <c r="C5" s="1" t="s">
        <v>53</v>
      </c>
      <c r="D5" s="2" t="s">
        <v>54</v>
      </c>
      <c r="E5" s="14">
        <v>6</v>
      </c>
      <c r="F5" s="14">
        <v>7</v>
      </c>
      <c r="G5" s="14">
        <v>5</v>
      </c>
      <c r="H5" s="14">
        <v>5</v>
      </c>
      <c r="I5" s="2" t="s">
        <v>50</v>
      </c>
      <c r="J5" s="15">
        <v>130</v>
      </c>
      <c r="K5" s="16">
        <v>80</v>
      </c>
      <c r="L5" s="16">
        <v>50</v>
      </c>
      <c r="M5" s="17">
        <v>25</v>
      </c>
      <c r="O5" s="2">
        <f t="shared" si="0"/>
        <v>26</v>
      </c>
      <c r="P5" s="2">
        <f t="shared" si="1"/>
        <v>16</v>
      </c>
      <c r="Q5" s="2">
        <f>L5/5</f>
        <v>10</v>
      </c>
      <c r="R5" s="2">
        <f>M5/5</f>
        <v>5</v>
      </c>
    </row>
    <row r="6" spans="1:18">
      <c r="A6" s="1">
        <v>1916</v>
      </c>
      <c r="B6" s="1" t="s">
        <v>44</v>
      </c>
      <c r="C6" s="1" t="s">
        <v>55</v>
      </c>
      <c r="D6" s="2" t="s">
        <v>56</v>
      </c>
      <c r="E6" s="14">
        <v>6</v>
      </c>
      <c r="F6" s="14">
        <v>7</v>
      </c>
      <c r="G6" s="14">
        <v>5</v>
      </c>
      <c r="H6" s="14">
        <v>5</v>
      </c>
      <c r="I6" s="2" t="s">
        <v>47</v>
      </c>
      <c r="J6" s="15">
        <v>130</v>
      </c>
      <c r="K6" s="16">
        <v>80</v>
      </c>
      <c r="L6" s="16">
        <v>50</v>
      </c>
      <c r="M6" s="17">
        <v>25</v>
      </c>
      <c r="O6" s="2">
        <f t="shared" si="0"/>
        <v>26</v>
      </c>
      <c r="P6" s="2">
        <f t="shared" si="1"/>
        <v>16</v>
      </c>
      <c r="Q6" s="2">
        <f>L6/5</f>
        <v>10</v>
      </c>
      <c r="R6" s="2">
        <f>M6/5</f>
        <v>5</v>
      </c>
    </row>
    <row r="7" spans="1:18">
      <c r="A7" s="1">
        <v>1916</v>
      </c>
      <c r="B7" s="1" t="s">
        <v>44</v>
      </c>
      <c r="C7" s="1" t="s">
        <v>57</v>
      </c>
      <c r="D7" s="2" t="s">
        <v>58</v>
      </c>
      <c r="E7" s="14">
        <v>7</v>
      </c>
      <c r="F7" s="14">
        <v>7</v>
      </c>
      <c r="G7" s="14">
        <v>6</v>
      </c>
      <c r="H7" s="14">
        <v>6</v>
      </c>
      <c r="I7" s="2" t="s">
        <v>47</v>
      </c>
      <c r="J7" s="15">
        <v>145</v>
      </c>
      <c r="K7" s="16">
        <v>90</v>
      </c>
      <c r="L7" s="16">
        <v>60</v>
      </c>
      <c r="M7" s="17">
        <v>30</v>
      </c>
      <c r="O7" s="2">
        <f t="shared" si="0"/>
        <v>29</v>
      </c>
      <c r="P7" s="2">
        <f t="shared" si="1"/>
        <v>18</v>
      </c>
      <c r="Q7" s="2">
        <f>L7/5</f>
        <v>12</v>
      </c>
      <c r="R7" s="2">
        <f>M7/5</f>
        <v>6</v>
      </c>
    </row>
    <row r="8" spans="1:18">
      <c r="A8" s="1">
        <v>1916</v>
      </c>
      <c r="B8" s="1" t="s">
        <v>44</v>
      </c>
      <c r="C8" s="1" t="s">
        <v>59</v>
      </c>
      <c r="D8" s="2" t="s">
        <v>60</v>
      </c>
      <c r="E8" s="14">
        <v>7</v>
      </c>
      <c r="F8" s="14">
        <v>7</v>
      </c>
      <c r="G8" s="14">
        <v>6</v>
      </c>
      <c r="H8" s="14">
        <v>6</v>
      </c>
      <c r="I8" s="2" t="s">
        <v>47</v>
      </c>
      <c r="J8" s="15">
        <v>160</v>
      </c>
      <c r="K8" s="16">
        <v>95</v>
      </c>
      <c r="L8" s="16">
        <v>65</v>
      </c>
      <c r="M8" s="17">
        <v>30</v>
      </c>
      <c r="O8" s="2">
        <f t="shared" si="0"/>
        <v>32</v>
      </c>
      <c r="P8" s="2">
        <f t="shared" si="1"/>
        <v>19</v>
      </c>
      <c r="Q8" s="2">
        <f>L8/5</f>
        <v>13</v>
      </c>
      <c r="R8" s="2">
        <f>M8/5</f>
        <v>6</v>
      </c>
    </row>
    <row r="9" spans="1:18">
      <c r="A9" s="1">
        <v>1916</v>
      </c>
      <c r="B9" s="1" t="s">
        <v>44</v>
      </c>
      <c r="C9" s="1" t="s">
        <v>61</v>
      </c>
      <c r="D9" s="2" t="s">
        <v>62</v>
      </c>
      <c r="E9" s="14">
        <v>7</v>
      </c>
      <c r="F9" s="14">
        <v>8</v>
      </c>
      <c r="G9" s="14">
        <v>6</v>
      </c>
      <c r="H9" s="14">
        <v>6</v>
      </c>
      <c r="I9" s="2" t="s">
        <v>47</v>
      </c>
      <c r="J9" s="15">
        <v>175</v>
      </c>
      <c r="K9" s="16">
        <f>J9*0.6</f>
        <v>105</v>
      </c>
      <c r="L9" s="16">
        <f>J9*0.4</f>
        <v>70</v>
      </c>
      <c r="M9" s="17">
        <f>J9*0.2</f>
        <v>35</v>
      </c>
      <c r="N9" s="17"/>
      <c r="O9" s="2">
        <f t="shared" si="0"/>
        <v>35</v>
      </c>
      <c r="P9" s="2">
        <f t="shared" si="1"/>
        <v>21</v>
      </c>
      <c r="Q9" s="2">
        <f>L9/5</f>
        <v>14</v>
      </c>
      <c r="R9" s="2">
        <f>M9/5</f>
        <v>7</v>
      </c>
    </row>
    <row r="10" spans="1:18">
      <c r="A10" s="1">
        <v>1916</v>
      </c>
      <c r="B10" s="1" t="s">
        <v>44</v>
      </c>
      <c r="C10" s="1" t="s">
        <v>63</v>
      </c>
      <c r="D10" s="2" t="s">
        <v>64</v>
      </c>
      <c r="E10" s="14">
        <v>7</v>
      </c>
      <c r="F10" s="14">
        <v>8</v>
      </c>
      <c r="G10" s="14">
        <v>7</v>
      </c>
      <c r="H10" s="14">
        <v>6</v>
      </c>
      <c r="I10" s="2" t="s">
        <v>50</v>
      </c>
      <c r="J10" s="15">
        <v>145</v>
      </c>
      <c r="K10" s="16">
        <v>90</v>
      </c>
      <c r="L10" s="16">
        <v>60</v>
      </c>
      <c r="M10" s="17">
        <v>30</v>
      </c>
      <c r="N10" s="17"/>
      <c r="O10" s="2">
        <f t="shared" si="0"/>
        <v>29</v>
      </c>
      <c r="P10" s="2">
        <f t="shared" si="1"/>
        <v>18</v>
      </c>
      <c r="Q10" s="2">
        <f>L10/5</f>
        <v>12</v>
      </c>
      <c r="R10" s="2">
        <f>M10/5</f>
        <v>6</v>
      </c>
    </row>
    <row r="11" spans="1:18">
      <c r="A11" s="1">
        <v>1916</v>
      </c>
      <c r="B11" s="1" t="s">
        <v>44</v>
      </c>
      <c r="C11" s="1" t="s">
        <v>65</v>
      </c>
      <c r="D11" s="2" t="s">
        <v>66</v>
      </c>
      <c r="E11" s="14">
        <v>5</v>
      </c>
      <c r="F11" s="14">
        <v>6</v>
      </c>
      <c r="G11" s="14">
        <v>5</v>
      </c>
      <c r="H11" s="14">
        <v>5</v>
      </c>
      <c r="I11" s="2" t="s">
        <v>50</v>
      </c>
      <c r="J11" s="15">
        <v>185</v>
      </c>
      <c r="K11" s="16">
        <v>110</v>
      </c>
      <c r="L11" s="16">
        <v>75</v>
      </c>
      <c r="M11" s="17">
        <v>35</v>
      </c>
      <c r="N11" s="17"/>
      <c r="O11" s="2">
        <f t="shared" si="0"/>
        <v>37</v>
      </c>
      <c r="P11" s="2">
        <f t="shared" si="1"/>
        <v>22</v>
      </c>
      <c r="Q11" s="2">
        <f>L11/5</f>
        <v>15</v>
      </c>
      <c r="R11" s="2">
        <f>M11/5</f>
        <v>7</v>
      </c>
    </row>
    <row r="12" spans="1:18">
      <c r="A12" s="1">
        <v>1916</v>
      </c>
      <c r="B12" s="1" t="s">
        <v>44</v>
      </c>
      <c r="C12" s="1" t="s">
        <v>67</v>
      </c>
      <c r="D12" s="2" t="s">
        <v>68</v>
      </c>
      <c r="E12" s="14">
        <v>6</v>
      </c>
      <c r="F12" s="14">
        <v>6</v>
      </c>
      <c r="G12" s="14">
        <v>5</v>
      </c>
      <c r="H12" s="14">
        <v>5</v>
      </c>
      <c r="I12" s="2" t="s">
        <v>50</v>
      </c>
      <c r="J12" s="15">
        <v>180</v>
      </c>
      <c r="K12" s="16">
        <v>110</v>
      </c>
      <c r="L12" s="16">
        <v>70</v>
      </c>
      <c r="M12" s="17">
        <v>35</v>
      </c>
      <c r="N12" s="17"/>
      <c r="O12" s="2">
        <f t="shared" si="0"/>
        <v>36</v>
      </c>
      <c r="P12" s="2">
        <f t="shared" si="1"/>
        <v>22</v>
      </c>
      <c r="Q12" s="2">
        <f>L12/5</f>
        <v>14</v>
      </c>
      <c r="R12" s="2">
        <f>M12/5</f>
        <v>7</v>
      </c>
    </row>
    <row r="13" spans="1:18">
      <c r="A13" s="1">
        <v>1916</v>
      </c>
      <c r="B13" s="1" t="s">
        <v>44</v>
      </c>
      <c r="C13" s="1" t="s">
        <v>69</v>
      </c>
      <c r="D13" s="2" t="s">
        <v>70</v>
      </c>
      <c r="E13" s="14">
        <v>8</v>
      </c>
      <c r="F13" s="14">
        <v>9</v>
      </c>
      <c r="G13" s="14">
        <v>8</v>
      </c>
      <c r="H13" s="14">
        <v>7</v>
      </c>
      <c r="I13" s="2" t="s">
        <v>47</v>
      </c>
      <c r="J13" s="15">
        <v>190</v>
      </c>
      <c r="K13" s="16">
        <v>115</v>
      </c>
      <c r="L13" s="16">
        <v>75</v>
      </c>
      <c r="M13" s="17">
        <v>40</v>
      </c>
      <c r="N13" s="17"/>
      <c r="O13" s="2">
        <f t="shared" si="0"/>
        <v>38</v>
      </c>
      <c r="P13" s="2">
        <f t="shared" si="1"/>
        <v>23</v>
      </c>
      <c r="Q13" s="2">
        <f>L13/5</f>
        <v>15</v>
      </c>
      <c r="R13" s="2">
        <f>M13/5</f>
        <v>8</v>
      </c>
    </row>
    <row r="14" spans="1:18">
      <c r="A14" s="1">
        <v>1916</v>
      </c>
      <c r="B14" s="1" t="s">
        <v>44</v>
      </c>
      <c r="C14" s="1" t="s">
        <v>71</v>
      </c>
      <c r="D14" s="2" t="s">
        <v>72</v>
      </c>
      <c r="E14" s="14">
        <v>7</v>
      </c>
      <c r="F14" s="14">
        <v>8</v>
      </c>
      <c r="G14" s="14">
        <v>7</v>
      </c>
      <c r="H14" s="14">
        <v>6</v>
      </c>
      <c r="I14" s="2" t="s">
        <v>47</v>
      </c>
      <c r="J14" s="15">
        <v>200</v>
      </c>
      <c r="K14" s="16">
        <f>J14*0.6</f>
        <v>120</v>
      </c>
      <c r="L14" s="16">
        <f>J14*0.4</f>
        <v>80</v>
      </c>
      <c r="M14" s="17">
        <f>J14*0.2</f>
        <v>40</v>
      </c>
      <c r="N14" s="17"/>
      <c r="O14" s="2">
        <f t="shared" si="0"/>
        <v>40</v>
      </c>
      <c r="P14" s="2">
        <f t="shared" si="1"/>
        <v>24</v>
      </c>
      <c r="Q14" s="2">
        <f>L14/5</f>
        <v>16</v>
      </c>
      <c r="R14" s="2">
        <f>M14/5</f>
        <v>8</v>
      </c>
    </row>
    <row r="15" spans="1:18">
      <c r="A15" s="1">
        <v>1916</v>
      </c>
      <c r="B15" s="1" t="s">
        <v>44</v>
      </c>
      <c r="C15" s="1" t="s">
        <v>73</v>
      </c>
      <c r="D15" s="2" t="s">
        <v>74</v>
      </c>
      <c r="E15" s="14">
        <v>4</v>
      </c>
      <c r="F15" s="14">
        <v>4</v>
      </c>
      <c r="G15" s="14">
        <v>3</v>
      </c>
      <c r="H15" s="14">
        <v>3</v>
      </c>
      <c r="I15" s="2" t="s">
        <v>75</v>
      </c>
      <c r="J15" s="15">
        <v>115</v>
      </c>
      <c r="K15" s="16">
        <v>70</v>
      </c>
      <c r="L15" s="16">
        <v>45</v>
      </c>
      <c r="M15" s="17">
        <v>25</v>
      </c>
      <c r="N15" s="17"/>
      <c r="O15" s="2">
        <f t="shared" si="0"/>
        <v>23</v>
      </c>
      <c r="P15" s="2">
        <f t="shared" si="1"/>
        <v>14</v>
      </c>
      <c r="Q15" s="2">
        <f>L15/5</f>
        <v>9</v>
      </c>
      <c r="R15" s="2">
        <f>M15/5</f>
        <v>5</v>
      </c>
    </row>
    <row r="16" spans="1:18">
      <c r="A16" s="1">
        <v>1916</v>
      </c>
      <c r="B16" s="1" t="s">
        <v>44</v>
      </c>
      <c r="C16" s="1" t="s">
        <v>76</v>
      </c>
      <c r="D16" s="2" t="s">
        <v>77</v>
      </c>
      <c r="E16" s="14">
        <v>4</v>
      </c>
      <c r="F16" s="14">
        <v>4</v>
      </c>
      <c r="G16" s="14">
        <v>3</v>
      </c>
      <c r="H16" s="14">
        <v>3</v>
      </c>
      <c r="I16" s="2" t="s">
        <v>75</v>
      </c>
      <c r="J16" s="15">
        <v>125</v>
      </c>
      <c r="K16" s="16">
        <f>J16*0.6</f>
        <v>75</v>
      </c>
      <c r="L16" s="16">
        <f>J16*0.4</f>
        <v>50</v>
      </c>
      <c r="M16" s="17">
        <f>J16*0.2</f>
        <v>25</v>
      </c>
      <c r="N16" s="17"/>
      <c r="O16" s="2">
        <f t="shared" si="0"/>
        <v>25</v>
      </c>
      <c r="P16" s="2">
        <f t="shared" si="1"/>
        <v>15</v>
      </c>
      <c r="Q16" s="2">
        <f>L16/5</f>
        <v>10</v>
      </c>
      <c r="R16" s="2">
        <f>M16/5</f>
        <v>5</v>
      </c>
    </row>
    <row r="17" spans="1:18">
      <c r="A17" s="1"/>
      <c r="B17" s="1"/>
      <c r="C17" s="1" t="s">
        <v>78</v>
      </c>
      <c r="D17" s="2"/>
      <c r="E17" s="14">
        <v>4</v>
      </c>
      <c r="F17" s="14">
        <v>4</v>
      </c>
      <c r="G17" s="14">
        <v>3</v>
      </c>
      <c r="H17" s="14">
        <v>3</v>
      </c>
      <c r="I17" s="2" t="s">
        <v>75</v>
      </c>
      <c r="J17" s="15">
        <v>125</v>
      </c>
      <c r="K17" s="16">
        <f>J17*0.6</f>
        <v>75</v>
      </c>
      <c r="L17" s="16">
        <f>J17*0.4</f>
        <v>50</v>
      </c>
      <c r="M17" s="17">
        <f>J17*0.2</f>
        <v>25</v>
      </c>
      <c r="N17" s="17"/>
      <c r="O17" s="2">
        <f t="shared" si="0"/>
        <v>25</v>
      </c>
      <c r="P17" s="2">
        <f t="shared" si="1"/>
        <v>15</v>
      </c>
      <c r="Q17" s="2">
        <f>L17/5</f>
        <v>10</v>
      </c>
      <c r="R17" s="2">
        <f>M17/5</f>
        <v>5</v>
      </c>
    </row>
    <row r="18" spans="1:18">
      <c r="A18" s="1">
        <v>1916</v>
      </c>
      <c r="B18" s="1" t="s">
        <v>44</v>
      </c>
      <c r="C18" s="1" t="s">
        <v>79</v>
      </c>
      <c r="D18" s="2" t="s">
        <v>80</v>
      </c>
      <c r="E18" s="14">
        <v>5</v>
      </c>
      <c r="F18" s="14">
        <v>6</v>
      </c>
      <c r="G18" s="14">
        <v>5</v>
      </c>
      <c r="H18" s="14">
        <v>5</v>
      </c>
      <c r="I18" s="2" t="s">
        <v>50</v>
      </c>
      <c r="J18" s="15">
        <v>170</v>
      </c>
      <c r="K18" s="16">
        <v>100</v>
      </c>
      <c r="L18" s="16">
        <v>70</v>
      </c>
      <c r="M18" s="17">
        <v>35</v>
      </c>
      <c r="N18" s="17"/>
      <c r="O18" s="2">
        <f t="shared" si="0"/>
        <v>34</v>
      </c>
      <c r="P18" s="2">
        <f t="shared" si="1"/>
        <v>20</v>
      </c>
      <c r="Q18" s="2">
        <f>L18/5</f>
        <v>14</v>
      </c>
      <c r="R18" s="2">
        <f>M18/5</f>
        <v>7</v>
      </c>
    </row>
    <row r="19" spans="1:18">
      <c r="A19" s="1">
        <v>1916</v>
      </c>
      <c r="B19" s="1" t="s">
        <v>44</v>
      </c>
      <c r="C19" s="1" t="s">
        <v>81</v>
      </c>
      <c r="D19" s="2" t="s">
        <v>82</v>
      </c>
      <c r="E19" s="14">
        <v>5</v>
      </c>
      <c r="F19" s="14">
        <v>6</v>
      </c>
      <c r="G19" s="14" t="s">
        <v>83</v>
      </c>
      <c r="H19" s="14">
        <v>5</v>
      </c>
      <c r="I19" s="2" t="s">
        <v>50</v>
      </c>
      <c r="J19" s="15">
        <v>185</v>
      </c>
      <c r="K19" s="16">
        <v>110</v>
      </c>
      <c r="L19" s="16">
        <v>75</v>
      </c>
      <c r="M19" s="17">
        <v>40</v>
      </c>
      <c r="N19" s="17"/>
      <c r="O19" s="2">
        <f t="shared" si="0"/>
        <v>37</v>
      </c>
      <c r="P19" s="2">
        <f t="shared" si="1"/>
        <v>22</v>
      </c>
      <c r="Q19" s="2">
        <f>L19/5</f>
        <v>15</v>
      </c>
      <c r="R19" s="2">
        <f>M19/5</f>
        <v>8</v>
      </c>
    </row>
    <row r="20" spans="5:18">
      <c r="E20" s="14"/>
      <c r="F20" s="14"/>
      <c r="G20" s="14"/>
      <c r="H20" s="14"/>
      <c r="I20" s="2"/>
      <c r="J20" s="15"/>
      <c r="K20" s="16"/>
      <c r="L20" s="16"/>
      <c r="P20" s="2" t="s">
        <v>84</v>
      </c>
      <c r="Q20" s="2" t="s">
        <v>85</v>
      </c>
      <c r="R20" s="2" t="s">
        <v>86</v>
      </c>
    </row>
    <row r="21" spans="1:18">
      <c r="A21" s="1"/>
      <c r="B21" s="1"/>
      <c r="C21" s="1"/>
      <c r="D21" s="2"/>
      <c r="E21" s="14"/>
      <c r="F21" s="14"/>
      <c r="G21" s="14"/>
      <c r="H21" s="14"/>
      <c r="I21" s="2"/>
      <c r="R21" s="2" t="s">
        <v>87</v>
      </c>
    </row>
    <row r="22" spans="1:18">
      <c r="A22" s="1">
        <v>1916</v>
      </c>
      <c r="B22" s="1" t="s">
        <v>88</v>
      </c>
      <c r="C22" s="1" t="s">
        <v>89</v>
      </c>
      <c r="D22" s="2" t="s">
        <v>90</v>
      </c>
      <c r="E22" s="14">
        <v>6</v>
      </c>
      <c r="F22" s="14">
        <v>7</v>
      </c>
      <c r="G22" s="14">
        <v>6</v>
      </c>
      <c r="H22" s="14">
        <v>5</v>
      </c>
      <c r="I22" s="2" t="s">
        <v>91</v>
      </c>
      <c r="J22" s="15">
        <v>120</v>
      </c>
      <c r="K22" s="16">
        <v>65</v>
      </c>
      <c r="L22" s="16">
        <v>40</v>
      </c>
      <c r="M22" s="17">
        <v>20</v>
      </c>
      <c r="N22" s="14"/>
      <c r="O22" s="2">
        <f t="shared" si="0"/>
        <v>24</v>
      </c>
      <c r="P22" s="2">
        <f t="shared" ref="P20:P32" si="2">K22/5</f>
        <v>13</v>
      </c>
      <c r="Q22" s="2">
        <f>L22/5</f>
        <v>8</v>
      </c>
      <c r="R22" s="2">
        <f>M22/5</f>
        <v>4</v>
      </c>
    </row>
    <row r="23" spans="1:18">
      <c r="A23" s="1">
        <v>1916</v>
      </c>
      <c r="B23" s="1" t="s">
        <v>88</v>
      </c>
      <c r="C23" s="1" t="s">
        <v>92</v>
      </c>
      <c r="D23" s="2" t="s">
        <v>93</v>
      </c>
      <c r="E23" s="14">
        <v>7</v>
      </c>
      <c r="F23" s="14">
        <v>7</v>
      </c>
      <c r="G23" s="14">
        <v>6</v>
      </c>
      <c r="H23" s="14">
        <v>6</v>
      </c>
      <c r="I23" s="2" t="s">
        <v>91</v>
      </c>
      <c r="J23" s="15">
        <v>145</v>
      </c>
      <c r="K23" s="16">
        <v>80</v>
      </c>
      <c r="L23" s="16">
        <v>50</v>
      </c>
      <c r="M23" s="17">
        <v>20</v>
      </c>
      <c r="N23" s="14"/>
      <c r="O23" s="2">
        <f t="shared" si="0"/>
        <v>29</v>
      </c>
      <c r="P23" s="2">
        <f>K23/5</f>
        <v>16</v>
      </c>
      <c r="Q23" s="2">
        <f>L23/5</f>
        <v>10</v>
      </c>
      <c r="R23" s="2">
        <f>M23/5</f>
        <v>4</v>
      </c>
    </row>
    <row r="24" spans="1:18">
      <c r="A24" s="1">
        <v>1916</v>
      </c>
      <c r="B24" s="1" t="s">
        <v>88</v>
      </c>
      <c r="C24" s="1" t="s">
        <v>94</v>
      </c>
      <c r="D24" s="2" t="s">
        <v>95</v>
      </c>
      <c r="E24" s="14">
        <v>9</v>
      </c>
      <c r="F24" s="14">
        <v>10</v>
      </c>
      <c r="G24" s="14">
        <v>8</v>
      </c>
      <c r="H24" s="14">
        <v>8</v>
      </c>
      <c r="I24" s="2" t="s">
        <v>96</v>
      </c>
      <c r="J24" s="15">
        <v>155</v>
      </c>
      <c r="K24" s="16">
        <v>85</v>
      </c>
      <c r="L24" s="16">
        <v>55</v>
      </c>
      <c r="M24" s="17">
        <v>25</v>
      </c>
      <c r="N24" s="14"/>
      <c r="O24" s="2">
        <f t="shared" si="0"/>
        <v>31</v>
      </c>
      <c r="P24" s="2">
        <f t="shared" si="2"/>
        <v>17</v>
      </c>
      <c r="Q24" s="2">
        <f>L24/5</f>
        <v>11</v>
      </c>
      <c r="R24" s="2">
        <f>M24/5</f>
        <v>5</v>
      </c>
    </row>
    <row r="25" spans="1:18">
      <c r="A25" s="1">
        <v>1916</v>
      </c>
      <c r="B25" s="1" t="s">
        <v>88</v>
      </c>
      <c r="C25" s="1" t="s">
        <v>97</v>
      </c>
      <c r="D25" s="2" t="s">
        <v>98</v>
      </c>
      <c r="E25" s="14">
        <v>9</v>
      </c>
      <c r="F25" s="14">
        <v>10</v>
      </c>
      <c r="G25" s="14">
        <v>8</v>
      </c>
      <c r="H25" s="14">
        <v>8</v>
      </c>
      <c r="I25" s="2" t="s">
        <v>96</v>
      </c>
      <c r="J25" s="15">
        <v>165</v>
      </c>
      <c r="K25" s="16">
        <v>90</v>
      </c>
      <c r="L25" s="16">
        <v>60</v>
      </c>
      <c r="M25" s="17">
        <v>25</v>
      </c>
      <c r="N25" s="14"/>
      <c r="O25" s="2">
        <f t="shared" si="0"/>
        <v>33</v>
      </c>
      <c r="P25" s="2">
        <f t="shared" si="2"/>
        <v>18</v>
      </c>
      <c r="Q25" s="2">
        <f>L25/5</f>
        <v>12</v>
      </c>
      <c r="R25" s="2">
        <f>M25/5</f>
        <v>5</v>
      </c>
    </row>
    <row r="26" spans="1:18">
      <c r="A26" s="1">
        <v>1916</v>
      </c>
      <c r="B26" s="1" t="s">
        <v>88</v>
      </c>
      <c r="C26" s="2" t="s">
        <v>99</v>
      </c>
      <c r="D26" s="2" t="s">
        <v>100</v>
      </c>
      <c r="E26" s="14">
        <v>9</v>
      </c>
      <c r="F26" s="14">
        <v>10</v>
      </c>
      <c r="G26" s="14">
        <v>9</v>
      </c>
      <c r="H26" s="14">
        <v>8</v>
      </c>
      <c r="I26" s="2" t="s">
        <v>101</v>
      </c>
      <c r="J26" s="15">
        <v>185</v>
      </c>
      <c r="K26" s="16">
        <v>100</v>
      </c>
      <c r="L26" s="16">
        <v>65</v>
      </c>
      <c r="M26" s="17">
        <v>30</v>
      </c>
      <c r="N26" s="14"/>
      <c r="O26" s="2">
        <f t="shared" si="0"/>
        <v>37</v>
      </c>
      <c r="P26" s="2">
        <f t="shared" si="2"/>
        <v>20</v>
      </c>
      <c r="Q26" s="2">
        <f>L26/5</f>
        <v>13</v>
      </c>
      <c r="R26" s="2">
        <f>M26/5</f>
        <v>6</v>
      </c>
    </row>
    <row r="27" spans="1:18">
      <c r="A27" s="1">
        <v>1916</v>
      </c>
      <c r="B27" s="1" t="s">
        <v>88</v>
      </c>
      <c r="C27" s="2" t="s">
        <v>102</v>
      </c>
      <c r="D27" s="2" t="s">
        <v>103</v>
      </c>
      <c r="E27" s="14">
        <v>5</v>
      </c>
      <c r="F27" s="14">
        <v>5</v>
      </c>
      <c r="G27" s="14">
        <v>4</v>
      </c>
      <c r="H27" s="14">
        <v>4</v>
      </c>
      <c r="I27" s="2" t="s">
        <v>104</v>
      </c>
      <c r="J27" s="15">
        <v>125</v>
      </c>
      <c r="K27" s="16">
        <v>70</v>
      </c>
      <c r="L27" s="16">
        <v>45</v>
      </c>
      <c r="M27" s="17">
        <v>20</v>
      </c>
      <c r="N27" s="14"/>
      <c r="O27" s="2">
        <f t="shared" si="0"/>
        <v>25</v>
      </c>
      <c r="P27" s="2">
        <f t="shared" si="2"/>
        <v>14</v>
      </c>
      <c r="Q27" s="2">
        <f>L27/5</f>
        <v>9</v>
      </c>
      <c r="R27" s="2">
        <f>M27/5</f>
        <v>4</v>
      </c>
    </row>
    <row r="28" spans="1:18">
      <c r="A28" s="1">
        <v>1916</v>
      </c>
      <c r="B28" s="1" t="s">
        <v>88</v>
      </c>
      <c r="C28" s="2" t="s">
        <v>105</v>
      </c>
      <c r="D28" s="2" t="s">
        <v>106</v>
      </c>
      <c r="E28" s="14">
        <v>7</v>
      </c>
      <c r="F28" s="14">
        <v>8</v>
      </c>
      <c r="G28" s="14">
        <v>7</v>
      </c>
      <c r="H28" s="14">
        <v>6</v>
      </c>
      <c r="I28" s="2" t="s">
        <v>104</v>
      </c>
      <c r="J28" s="15">
        <v>150</v>
      </c>
      <c r="K28" s="16">
        <v>80</v>
      </c>
      <c r="L28" s="16">
        <v>55</v>
      </c>
      <c r="M28" s="17">
        <v>25</v>
      </c>
      <c r="N28" s="14"/>
      <c r="O28" s="2">
        <f t="shared" si="0"/>
        <v>30</v>
      </c>
      <c r="P28" s="2">
        <f t="shared" si="2"/>
        <v>16</v>
      </c>
      <c r="Q28" s="2">
        <f>L28/5</f>
        <v>11</v>
      </c>
      <c r="R28" s="2">
        <f>M28/5</f>
        <v>5</v>
      </c>
    </row>
    <row r="29" spans="1:18">
      <c r="A29" s="1">
        <v>1916</v>
      </c>
      <c r="B29" s="1" t="s">
        <v>88</v>
      </c>
      <c r="C29" s="2" t="s">
        <v>107</v>
      </c>
      <c r="D29" s="2" t="s">
        <v>108</v>
      </c>
      <c r="E29" s="14">
        <v>9</v>
      </c>
      <c r="F29" s="14" t="s">
        <v>109</v>
      </c>
      <c r="G29" s="14">
        <v>8</v>
      </c>
      <c r="H29" s="14">
        <v>7</v>
      </c>
      <c r="I29" s="2" t="s">
        <v>50</v>
      </c>
      <c r="J29" s="15">
        <v>165</v>
      </c>
      <c r="K29" s="16">
        <v>90</v>
      </c>
      <c r="L29" s="16">
        <v>60</v>
      </c>
      <c r="M29" s="17">
        <v>25</v>
      </c>
      <c r="N29" s="14"/>
      <c r="O29" s="2">
        <f t="shared" si="0"/>
        <v>33</v>
      </c>
      <c r="P29" s="2">
        <f t="shared" si="2"/>
        <v>18</v>
      </c>
      <c r="Q29" s="2">
        <f>L29/5</f>
        <v>12</v>
      </c>
      <c r="R29" s="2">
        <f>M29/5</f>
        <v>5</v>
      </c>
    </row>
    <row r="30" spans="1:18">
      <c r="A30" s="1">
        <v>1916</v>
      </c>
      <c r="B30" s="1" t="s">
        <v>88</v>
      </c>
      <c r="C30" s="2" t="s">
        <v>110</v>
      </c>
      <c r="D30" s="2" t="s">
        <v>111</v>
      </c>
      <c r="E30" s="14">
        <v>9</v>
      </c>
      <c r="F30" s="14">
        <v>10</v>
      </c>
      <c r="G30" s="14" t="s">
        <v>112</v>
      </c>
      <c r="H30" s="14">
        <v>8</v>
      </c>
      <c r="I30" s="2" t="s">
        <v>47</v>
      </c>
      <c r="J30" s="15">
        <v>175</v>
      </c>
      <c r="K30" s="16">
        <v>95</v>
      </c>
      <c r="L30" s="16">
        <v>60</v>
      </c>
      <c r="M30" s="17">
        <v>25</v>
      </c>
      <c r="N30" s="14"/>
      <c r="O30" s="2">
        <f t="shared" si="0"/>
        <v>35</v>
      </c>
      <c r="P30" s="2">
        <f t="shared" si="2"/>
        <v>19</v>
      </c>
      <c r="Q30" s="2">
        <f>L30/5</f>
        <v>12</v>
      </c>
      <c r="R30" s="2">
        <f>M30/5</f>
        <v>5</v>
      </c>
    </row>
    <row r="31" spans="1:18">
      <c r="A31" s="1">
        <v>1916</v>
      </c>
      <c r="B31" s="1" t="s">
        <v>88</v>
      </c>
      <c r="C31" s="2" t="s">
        <v>113</v>
      </c>
      <c r="D31" s="2" t="s">
        <v>114</v>
      </c>
      <c r="J31" s="17">
        <v>85</v>
      </c>
      <c r="K31" s="16">
        <v>45</v>
      </c>
      <c r="L31" s="16">
        <v>30</v>
      </c>
      <c r="M31" s="17">
        <v>15</v>
      </c>
      <c r="N31" s="14"/>
      <c r="O31" s="2">
        <f t="shared" si="0"/>
        <v>17</v>
      </c>
      <c r="P31" s="2">
        <f t="shared" si="2"/>
        <v>9</v>
      </c>
      <c r="Q31" s="2">
        <f>L31/5</f>
        <v>6</v>
      </c>
      <c r="R31" s="2">
        <f>M31/5</f>
        <v>3</v>
      </c>
    </row>
    <row r="32" spans="10:18">
      <c r="J32" s="17">
        <v>85</v>
      </c>
      <c r="K32" s="16">
        <v>45</v>
      </c>
      <c r="L32" s="16">
        <v>30</v>
      </c>
      <c r="M32" s="17">
        <v>15</v>
      </c>
      <c r="N32" s="14"/>
      <c r="O32" s="2">
        <f t="shared" si="0"/>
        <v>17</v>
      </c>
      <c r="P32" s="2">
        <f t="shared" si="2"/>
        <v>9</v>
      </c>
      <c r="Q32" s="2">
        <f>L32/5</f>
        <v>6</v>
      </c>
      <c r="R32" s="2">
        <f>M32/5</f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145" zoomScaleNormal="145" workbookViewId="0">
      <selection activeCell="B5" sqref="B5"/>
    </sheetView>
  </sheetViews>
  <sheetFormatPr defaultColWidth="5.625" defaultRowHeight="50" customHeight="1" outlineLevelCol="4"/>
  <cols>
    <col min="1" max="5" width="20.625" style="2" customWidth="1"/>
    <col min="6" max="32" width="9" style="2"/>
    <col min="33" max="16383" width="5.625" style="2"/>
  </cols>
  <sheetData>
    <row r="1" ht="14.25" spans="1:5">
      <c r="A1" s="12" t="s">
        <v>115</v>
      </c>
      <c r="B1" s="12" t="s">
        <v>40</v>
      </c>
      <c r="C1" s="13" t="s">
        <v>41</v>
      </c>
      <c r="D1" s="12" t="s">
        <v>42</v>
      </c>
      <c r="E1" s="12" t="s">
        <v>43</v>
      </c>
    </row>
    <row r="2" ht="28.5" spans="1:5">
      <c r="A2" s="12">
        <v>3</v>
      </c>
      <c r="B2" s="12"/>
      <c r="C2" s="12"/>
      <c r="D2" s="12" t="s">
        <v>116</v>
      </c>
      <c r="E2" s="12" t="s">
        <v>116</v>
      </c>
    </row>
    <row r="3" ht="28.5" spans="1:5">
      <c r="A3" s="12">
        <v>4</v>
      </c>
      <c r="B3" s="12" t="s">
        <v>116</v>
      </c>
      <c r="C3" s="12" t="s">
        <v>116</v>
      </c>
      <c r="D3" s="12" t="s">
        <v>117</v>
      </c>
      <c r="E3" s="12" t="s">
        <v>118</v>
      </c>
    </row>
    <row r="4" ht="42.75" spans="1:5">
      <c r="A4" s="12">
        <v>5</v>
      </c>
      <c r="B4" s="12" t="s">
        <v>119</v>
      </c>
      <c r="C4" s="12" t="s">
        <v>117</v>
      </c>
      <c r="D4" s="12" t="s">
        <v>120</v>
      </c>
      <c r="E4" s="12" t="s">
        <v>121</v>
      </c>
    </row>
    <row r="5" ht="57" spans="1:5">
      <c r="A5" s="12">
        <v>6</v>
      </c>
      <c r="B5" s="12" t="s">
        <v>122</v>
      </c>
      <c r="C5" s="12" t="s">
        <v>123</v>
      </c>
      <c r="D5" s="12" t="s">
        <v>124</v>
      </c>
      <c r="E5" s="12" t="s">
        <v>125</v>
      </c>
    </row>
    <row r="6" ht="57" spans="1:5">
      <c r="A6" s="12">
        <v>7</v>
      </c>
      <c r="B6" s="12" t="s">
        <v>125</v>
      </c>
      <c r="C6" s="12" t="s">
        <v>126</v>
      </c>
      <c r="D6" s="12" t="s">
        <v>127</v>
      </c>
      <c r="E6" s="12" t="s">
        <v>128</v>
      </c>
    </row>
    <row r="7" ht="28.5" spans="1:5">
      <c r="A7" s="12">
        <v>8</v>
      </c>
      <c r="B7" s="12" t="s">
        <v>69</v>
      </c>
      <c r="C7" s="12" t="s">
        <v>129</v>
      </c>
      <c r="D7" s="12" t="s">
        <v>130</v>
      </c>
      <c r="E7" s="12" t="s">
        <v>131</v>
      </c>
    </row>
    <row r="8" ht="28.5" spans="1:5">
      <c r="A8" s="12">
        <v>9</v>
      </c>
      <c r="B8" s="12" t="s">
        <v>132</v>
      </c>
      <c r="C8" s="12" t="s">
        <v>69</v>
      </c>
      <c r="D8" s="12" t="s">
        <v>133</v>
      </c>
      <c r="E8" s="12"/>
    </row>
    <row r="9" ht="28.5" spans="1:5">
      <c r="A9" s="12">
        <v>10</v>
      </c>
      <c r="B9" s="12"/>
      <c r="C9" s="12" t="s">
        <v>132</v>
      </c>
      <c r="D9" s="12"/>
      <c r="E9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opLeftCell="A33" workbookViewId="0">
      <selection activeCell="I43" sqref="I43"/>
    </sheetView>
  </sheetViews>
  <sheetFormatPr defaultColWidth="9" defaultRowHeight="13.5" outlineLevelCol="2"/>
  <cols>
    <col min="1" max="3" width="9" style="3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3</v>
      </c>
      <c r="B2" s="3">
        <v>8570</v>
      </c>
      <c r="C2" s="3">
        <v>305</v>
      </c>
    </row>
    <row r="3" spans="2:3">
      <c r="B3" s="3">
        <v>7300</v>
      </c>
      <c r="C3" s="3">
        <v>352</v>
      </c>
    </row>
    <row r="4" spans="2:3">
      <c r="B4" s="3">
        <v>6000</v>
      </c>
      <c r="C4" s="3">
        <v>305</v>
      </c>
    </row>
    <row r="5" spans="2:3">
      <c r="B5" s="3">
        <v>8000</v>
      </c>
      <c r="C5" s="3">
        <v>266</v>
      </c>
    </row>
    <row r="6" spans="2:3">
      <c r="B6" s="3">
        <v>10000</v>
      </c>
      <c r="C6" s="3">
        <v>228</v>
      </c>
    </row>
    <row r="7" spans="2:3">
      <c r="B7" s="3">
        <v>12000</v>
      </c>
      <c r="C7" s="3">
        <v>203</v>
      </c>
    </row>
    <row r="8" spans="2:3">
      <c r="B8" s="3">
        <v>0</v>
      </c>
      <c r="C8" s="3">
        <v>406</v>
      </c>
    </row>
    <row r="9" spans="2:3">
      <c r="B9" s="3">
        <v>7600</v>
      </c>
      <c r="C9" s="3">
        <v>305</v>
      </c>
    </row>
    <row r="10" spans="2:3">
      <c r="B10" s="3">
        <v>10000</v>
      </c>
      <c r="C10" s="3">
        <v>269</v>
      </c>
    </row>
    <row r="11" spans="1:3">
      <c r="A11" s="3" t="s">
        <v>6</v>
      </c>
      <c r="B11" s="3">
        <v>10200</v>
      </c>
      <c r="C11" s="3">
        <v>305</v>
      </c>
    </row>
    <row r="12" spans="2:3">
      <c r="B12" s="3">
        <v>8400</v>
      </c>
      <c r="C12" s="3">
        <v>352</v>
      </c>
    </row>
    <row r="13" spans="2:3">
      <c r="B13" s="3">
        <v>8000</v>
      </c>
      <c r="C13" s="3">
        <v>305</v>
      </c>
    </row>
    <row r="14" spans="2:3">
      <c r="B14" s="3">
        <v>10000</v>
      </c>
      <c r="C14" s="3">
        <v>244</v>
      </c>
    </row>
    <row r="15" spans="2:3">
      <c r="B15" s="3">
        <v>12000</v>
      </c>
      <c r="C15" s="3">
        <v>228</v>
      </c>
    </row>
    <row r="16" spans="2:3">
      <c r="B16" s="3">
        <v>0</v>
      </c>
      <c r="C16" s="3">
        <v>427</v>
      </c>
    </row>
    <row r="17" spans="2:3">
      <c r="B17" s="3">
        <v>10000</v>
      </c>
      <c r="C17" s="3">
        <v>284</v>
      </c>
    </row>
    <row r="18" spans="1:3">
      <c r="A18" s="3" t="s">
        <v>23</v>
      </c>
      <c r="B18" s="3">
        <v>0</v>
      </c>
      <c r="C18" s="3">
        <v>406</v>
      </c>
    </row>
    <row r="19" spans="2:3">
      <c r="B19" s="3">
        <v>7600</v>
      </c>
      <c r="C19" s="3">
        <v>305</v>
      </c>
    </row>
    <row r="20" spans="2:3">
      <c r="B20" s="3">
        <v>10000</v>
      </c>
      <c r="C20" s="3">
        <v>269</v>
      </c>
    </row>
    <row r="21" spans="1:3">
      <c r="A21" s="3" t="s">
        <v>10</v>
      </c>
      <c r="B21" s="3">
        <v>16400</v>
      </c>
      <c r="C21" s="3">
        <v>305</v>
      </c>
    </row>
    <row r="22" spans="2:3">
      <c r="B22" s="3">
        <v>11400</v>
      </c>
      <c r="C22" s="3">
        <v>352</v>
      </c>
    </row>
    <row r="23" spans="2:3">
      <c r="B23" s="3">
        <v>0</v>
      </c>
      <c r="C23" s="3">
        <v>439</v>
      </c>
    </row>
    <row r="24" spans="2:3">
      <c r="B24" s="3">
        <v>10000</v>
      </c>
      <c r="C24" s="3">
        <v>318</v>
      </c>
    </row>
    <row r="25" spans="1:3">
      <c r="A25" s="3" t="s">
        <v>14</v>
      </c>
      <c r="B25" s="3">
        <v>14000</v>
      </c>
      <c r="C25" s="3">
        <v>305</v>
      </c>
    </row>
    <row r="26" spans="2:3">
      <c r="B26" s="3">
        <v>9300</v>
      </c>
      <c r="C26" s="3">
        <v>352</v>
      </c>
    </row>
    <row r="27" spans="2:3">
      <c r="B27" s="3">
        <v>0</v>
      </c>
      <c r="C27" s="3">
        <v>439</v>
      </c>
    </row>
    <row r="28" spans="2:3">
      <c r="B28" s="3">
        <v>10000</v>
      </c>
      <c r="C28" s="3">
        <v>310</v>
      </c>
    </row>
    <row r="29" spans="1:3">
      <c r="A29" s="3" t="s">
        <v>30</v>
      </c>
      <c r="B29" s="3">
        <v>8629</v>
      </c>
      <c r="C29" s="3">
        <v>406</v>
      </c>
    </row>
    <row r="30" spans="2:3">
      <c r="B30" s="3">
        <v>14853</v>
      </c>
      <c r="C30" s="3">
        <v>305</v>
      </c>
    </row>
    <row r="31" spans="2:3">
      <c r="B31" s="3">
        <v>19707</v>
      </c>
      <c r="C31" s="3">
        <v>279</v>
      </c>
    </row>
    <row r="32" spans="2:3">
      <c r="B32" s="3">
        <v>23734</v>
      </c>
      <c r="C32" s="3">
        <v>229</v>
      </c>
    </row>
    <row r="33" spans="2:3">
      <c r="B33" s="3">
        <v>0</v>
      </c>
      <c r="C33" s="3">
        <v>457</v>
      </c>
    </row>
    <row r="34" spans="2:3">
      <c r="B34" s="3">
        <v>10000</v>
      </c>
      <c r="C34" s="3">
        <v>356</v>
      </c>
    </row>
    <row r="35" spans="2:3">
      <c r="B35" s="3">
        <v>10000</v>
      </c>
      <c r="C35" s="3">
        <v>335</v>
      </c>
    </row>
    <row r="36" spans="2:3">
      <c r="B36" s="3">
        <v>10000</v>
      </c>
      <c r="C36" s="3">
        <v>310</v>
      </c>
    </row>
    <row r="37" ht="14.25" spans="1:3">
      <c r="A37" s="4" t="s">
        <v>134</v>
      </c>
      <c r="B37" s="5" t="s">
        <v>135</v>
      </c>
      <c r="C37" s="5">
        <v>283</v>
      </c>
    </row>
    <row r="38" ht="14.25" spans="1:3">
      <c r="A38" s="6"/>
      <c r="B38" s="7" t="s">
        <v>135</v>
      </c>
      <c r="C38" s="7">
        <v>321.966</v>
      </c>
    </row>
    <row r="39" ht="14.25" spans="1:3">
      <c r="A39" s="6"/>
      <c r="B39" s="7" t="s">
        <v>136</v>
      </c>
      <c r="C39" s="7">
        <v>280</v>
      </c>
    </row>
    <row r="40" ht="14.25" spans="1:3">
      <c r="A40" s="8"/>
      <c r="B40" s="9" t="s">
        <v>137</v>
      </c>
      <c r="C40" s="9">
        <v>200</v>
      </c>
    </row>
    <row r="41" ht="14.25" spans="1:3">
      <c r="A41" s="6"/>
      <c r="B41" s="7"/>
      <c r="C41" s="7"/>
    </row>
    <row r="42" ht="14.25" spans="1:3">
      <c r="A42" s="6"/>
      <c r="B42" s="7"/>
      <c r="C42" s="7"/>
    </row>
    <row r="43" ht="14.25" spans="1:3">
      <c r="A43" s="10"/>
      <c r="B43" s="11"/>
      <c r="C43" s="11"/>
    </row>
    <row r="44" ht="14.25" spans="1:3">
      <c r="A44" s="6" t="s">
        <v>138</v>
      </c>
      <c r="B44" s="7" t="s">
        <v>137</v>
      </c>
      <c r="C44" s="7">
        <v>285</v>
      </c>
    </row>
    <row r="45" ht="14.25" spans="1:3">
      <c r="A45" s="6"/>
      <c r="B45" s="7" t="s">
        <v>139</v>
      </c>
      <c r="C45" s="7">
        <v>205.412</v>
      </c>
    </row>
    <row r="46" ht="14.25" spans="1:3">
      <c r="A46" s="6"/>
      <c r="B46" s="7" t="s">
        <v>140</v>
      </c>
      <c r="C46" s="7">
        <v>234.262</v>
      </c>
    </row>
    <row r="47" ht="14.25" spans="1:3">
      <c r="A47" s="6"/>
      <c r="B47" s="7"/>
      <c r="C47" s="7"/>
    </row>
    <row r="48" ht="14.25" spans="1:3">
      <c r="A48" s="6"/>
      <c r="B48" s="7"/>
      <c r="C48" s="7"/>
    </row>
    <row r="49" ht="14.25" spans="1:3">
      <c r="A49" s="6"/>
      <c r="B49" s="7"/>
      <c r="C49" s="7"/>
    </row>
    <row r="50" ht="14.25" spans="1:3">
      <c r="A50" s="6"/>
      <c r="B50" s="7"/>
      <c r="C50" s="7"/>
    </row>
    <row r="51" ht="14.25" spans="1:3">
      <c r="A51" s="4" t="s">
        <v>141</v>
      </c>
      <c r="B51" s="5" t="s">
        <v>137</v>
      </c>
      <c r="C51" s="5">
        <v>345</v>
      </c>
    </row>
    <row r="52" ht="14.25" spans="1:3">
      <c r="A52" s="6"/>
      <c r="B52" s="7" t="s">
        <v>142</v>
      </c>
      <c r="C52" s="7">
        <v>293.116</v>
      </c>
    </row>
    <row r="53" ht="14.25" spans="1:3">
      <c r="A53" s="6"/>
      <c r="B53" s="7" t="s">
        <v>142</v>
      </c>
      <c r="C53" s="7">
        <v>264.266</v>
      </c>
    </row>
    <row r="54" ht="14.25" spans="1:3">
      <c r="A54" s="6"/>
      <c r="B54" s="7" t="s">
        <v>143</v>
      </c>
      <c r="C54" s="7">
        <v>293.116</v>
      </c>
    </row>
    <row r="55" ht="14.25" spans="1:3">
      <c r="A55" s="6"/>
      <c r="B55" s="7" t="s">
        <v>144</v>
      </c>
      <c r="C55" s="7">
        <v>321.966</v>
      </c>
    </row>
    <row r="56" ht="14.25" spans="1:3">
      <c r="A56" s="8"/>
      <c r="B56" s="9" t="s">
        <v>145</v>
      </c>
      <c r="C56" s="9">
        <v>351.97</v>
      </c>
    </row>
    <row r="57" ht="14.25" spans="1:3">
      <c r="A57" s="6"/>
      <c r="B57" s="7" t="s">
        <v>136</v>
      </c>
      <c r="C57" s="7">
        <v>345</v>
      </c>
    </row>
    <row r="58" ht="14.25" spans="1:3">
      <c r="A58" s="6"/>
      <c r="B58" s="7" t="s">
        <v>137</v>
      </c>
      <c r="C58" s="7">
        <v>305</v>
      </c>
    </row>
    <row r="59" ht="14.25" spans="1:3">
      <c r="A59" s="6"/>
      <c r="B59" s="7" t="s">
        <v>146</v>
      </c>
      <c r="C59" s="7">
        <v>254</v>
      </c>
    </row>
    <row r="60" ht="14.25" spans="1:3">
      <c r="A60" s="6"/>
      <c r="B60" s="7" t="s">
        <v>147</v>
      </c>
      <c r="C60" s="7">
        <v>229</v>
      </c>
    </row>
    <row r="61" ht="14.25" spans="1:3">
      <c r="A61" s="4" t="s">
        <v>148</v>
      </c>
      <c r="B61" s="5" t="s">
        <v>144</v>
      </c>
      <c r="C61" s="5">
        <v>410.824</v>
      </c>
    </row>
    <row r="62" ht="14.25" spans="1:3">
      <c r="A62" s="6"/>
      <c r="B62" s="7" t="s">
        <v>149</v>
      </c>
      <c r="C62" s="7">
        <v>395.822</v>
      </c>
    </row>
    <row r="63" ht="14.25" spans="1:3">
      <c r="A63" s="6"/>
      <c r="B63" s="7" t="s">
        <v>136</v>
      </c>
      <c r="C63" s="7">
        <v>390</v>
      </c>
    </row>
    <row r="64" ht="14.25" spans="1:3">
      <c r="A64" s="6"/>
      <c r="B64" s="7" t="s">
        <v>150</v>
      </c>
      <c r="C64" s="7">
        <v>350</v>
      </c>
    </row>
    <row r="65" ht="14.25" spans="1:3">
      <c r="A65" s="6"/>
      <c r="B65" s="7" t="s">
        <v>151</v>
      </c>
      <c r="C65" s="7">
        <v>265</v>
      </c>
    </row>
    <row r="66" ht="14.25" spans="1:3">
      <c r="A66" s="6"/>
      <c r="B66" s="7" t="s">
        <v>152</v>
      </c>
      <c r="C66" s="7">
        <v>220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E8" sqref="E8"/>
    </sheetView>
  </sheetViews>
  <sheetFormatPr defaultColWidth="9" defaultRowHeight="13.5" outlineLevelCol="4"/>
  <sheetData>
    <row r="1" ht="14.25" spans="1:5">
      <c r="A1" s="1" t="s">
        <v>36</v>
      </c>
      <c r="B1" s="1" t="s">
        <v>37</v>
      </c>
      <c r="C1" s="1" t="s">
        <v>38</v>
      </c>
      <c r="D1" s="2" t="s">
        <v>39</v>
      </c>
      <c r="E1" t="s">
        <v>153</v>
      </c>
    </row>
    <row r="2" ht="14.25" spans="1:5">
      <c r="A2" s="1">
        <v>1916</v>
      </c>
      <c r="B2" s="1" t="s">
        <v>44</v>
      </c>
      <c r="C2" s="1" t="s">
        <v>45</v>
      </c>
      <c r="D2" s="2" t="s">
        <v>46</v>
      </c>
      <c r="E2">
        <v>118</v>
      </c>
    </row>
    <row r="3" ht="14.25" spans="1:5">
      <c r="A3" s="1">
        <v>1916</v>
      </c>
      <c r="B3" s="1" t="s">
        <v>44</v>
      </c>
      <c r="C3" s="1" t="s">
        <v>48</v>
      </c>
      <c r="D3" s="2" t="s">
        <v>49</v>
      </c>
      <c r="E3">
        <v>124</v>
      </c>
    </row>
    <row r="4" ht="14.25" spans="1:5">
      <c r="A4" s="1">
        <v>1916</v>
      </c>
      <c r="B4" s="1" t="s">
        <v>44</v>
      </c>
      <c r="C4" s="1" t="s">
        <v>51</v>
      </c>
      <c r="D4" s="2" t="s">
        <v>52</v>
      </c>
      <c r="E4">
        <v>129</v>
      </c>
    </row>
    <row r="5" ht="14.25" spans="1:5">
      <c r="A5" s="1">
        <v>1916</v>
      </c>
      <c r="B5" s="1" t="s">
        <v>44</v>
      </c>
      <c r="C5" s="1" t="s">
        <v>53</v>
      </c>
      <c r="D5" s="2" t="s">
        <v>54</v>
      </c>
      <c r="E5">
        <v>130</v>
      </c>
    </row>
    <row r="6" ht="14.25" spans="1:5">
      <c r="A6" s="1">
        <v>1916</v>
      </c>
      <c r="B6" s="1" t="s">
        <v>44</v>
      </c>
      <c r="C6" s="1" t="s">
        <v>55</v>
      </c>
      <c r="D6" s="2" t="s">
        <v>56</v>
      </c>
      <c r="E6">
        <v>131</v>
      </c>
    </row>
    <row r="7" ht="14.25" spans="1:5">
      <c r="A7" s="1">
        <v>1916</v>
      </c>
      <c r="B7" s="1" t="s">
        <v>44</v>
      </c>
      <c r="C7" s="1" t="s">
        <v>57</v>
      </c>
      <c r="D7" s="2" t="s">
        <v>58</v>
      </c>
      <c r="E7">
        <v>144</v>
      </c>
    </row>
    <row r="8" ht="14.25" spans="1:5">
      <c r="A8" s="1">
        <v>1916</v>
      </c>
      <c r="B8" s="1" t="s">
        <v>44</v>
      </c>
      <c r="C8" s="1" t="s">
        <v>59</v>
      </c>
      <c r="D8" s="2" t="s">
        <v>60</v>
      </c>
      <c r="E8">
        <v>159</v>
      </c>
    </row>
    <row r="9" ht="14.25" spans="1:5">
      <c r="A9" s="1">
        <v>1916</v>
      </c>
      <c r="B9" s="1" t="s">
        <v>44</v>
      </c>
      <c r="C9" s="1" t="s">
        <v>61</v>
      </c>
      <c r="D9" s="2" t="s">
        <v>62</v>
      </c>
      <c r="E9">
        <v>174</v>
      </c>
    </row>
    <row r="10" ht="14.25" spans="1:5">
      <c r="A10" s="1">
        <v>1916</v>
      </c>
      <c r="B10" s="1" t="s">
        <v>44</v>
      </c>
      <c r="C10" s="1" t="s">
        <v>63</v>
      </c>
      <c r="D10" s="2" t="s">
        <v>64</v>
      </c>
      <c r="E10">
        <v>146</v>
      </c>
    </row>
    <row r="11" ht="14.25" spans="1:5">
      <c r="A11" s="1">
        <v>1916</v>
      </c>
      <c r="B11" s="1" t="s">
        <v>44</v>
      </c>
      <c r="C11" s="1" t="s">
        <v>65</v>
      </c>
      <c r="D11" s="2" t="s">
        <v>66</v>
      </c>
      <c r="E11">
        <v>184</v>
      </c>
    </row>
    <row r="12" ht="14.25" spans="1:5">
      <c r="A12" s="1">
        <v>1916</v>
      </c>
      <c r="B12" s="1" t="s">
        <v>44</v>
      </c>
      <c r="C12" s="1" t="s">
        <v>67</v>
      </c>
      <c r="D12" s="2" t="s">
        <v>68</v>
      </c>
      <c r="E12">
        <v>178</v>
      </c>
    </row>
    <row r="13" ht="14.25" spans="1:5">
      <c r="A13" s="1">
        <v>1916</v>
      </c>
      <c r="B13" s="1" t="s">
        <v>44</v>
      </c>
      <c r="C13" s="1" t="s">
        <v>69</v>
      </c>
      <c r="D13" s="2" t="s">
        <v>70</v>
      </c>
      <c r="E13">
        <v>189</v>
      </c>
    </row>
    <row r="14" ht="14.25" spans="1:5">
      <c r="A14" s="1">
        <v>1916</v>
      </c>
      <c r="B14" s="1" t="s">
        <v>44</v>
      </c>
      <c r="C14" s="1" t="s">
        <v>71</v>
      </c>
      <c r="D14" s="2" t="s">
        <v>72</v>
      </c>
      <c r="E14">
        <v>199</v>
      </c>
    </row>
    <row r="15" ht="14.25" spans="1:5">
      <c r="A15" s="1">
        <v>1916</v>
      </c>
      <c r="B15" s="1" t="s">
        <v>44</v>
      </c>
      <c r="C15" s="1" t="s">
        <v>73</v>
      </c>
      <c r="D15" s="2" t="s">
        <v>74</v>
      </c>
      <c r="E15">
        <v>114</v>
      </c>
    </row>
    <row r="16" ht="14.25" spans="1:5">
      <c r="A16" s="1">
        <v>1916</v>
      </c>
      <c r="B16" s="1" t="s">
        <v>44</v>
      </c>
      <c r="C16" s="1" t="s">
        <v>76</v>
      </c>
      <c r="D16" s="2" t="s">
        <v>77</v>
      </c>
      <c r="E16">
        <v>125</v>
      </c>
    </row>
    <row r="17" ht="14.25" spans="1:5">
      <c r="A17" s="1">
        <v>1916</v>
      </c>
      <c r="B17" s="1" t="s">
        <v>44</v>
      </c>
      <c r="C17" s="1" t="s">
        <v>79</v>
      </c>
      <c r="D17" s="2" t="s">
        <v>80</v>
      </c>
      <c r="E17">
        <v>174</v>
      </c>
    </row>
    <row r="18" ht="14.25" spans="1:5">
      <c r="A18" s="1">
        <v>1916</v>
      </c>
      <c r="B18" s="1" t="s">
        <v>44</v>
      </c>
      <c r="C18" s="1" t="s">
        <v>81</v>
      </c>
      <c r="D18" s="2" t="s">
        <v>82</v>
      </c>
      <c r="E18">
        <v>187</v>
      </c>
    </row>
    <row r="19" ht="14.25" spans="1:4">
      <c r="A19" s="2"/>
      <c r="B19" s="2"/>
      <c r="C19" s="2"/>
      <c r="D19" s="2"/>
    </row>
    <row r="20" ht="14.25" spans="1:4">
      <c r="A20" s="1"/>
      <c r="B20" s="1"/>
      <c r="C20" s="1"/>
      <c r="D20" s="2"/>
    </row>
    <row r="21" ht="14.25" spans="1:5">
      <c r="A21" s="1">
        <v>1916</v>
      </c>
      <c r="B21" s="1" t="s">
        <v>88</v>
      </c>
      <c r="C21" s="1" t="s">
        <v>89</v>
      </c>
      <c r="D21" s="2" t="s">
        <v>90</v>
      </c>
      <c r="E21">
        <v>119</v>
      </c>
    </row>
    <row r="22" ht="14.25" spans="1:5">
      <c r="A22" s="1">
        <v>1916</v>
      </c>
      <c r="B22" s="1" t="s">
        <v>88</v>
      </c>
      <c r="C22" s="1" t="s">
        <v>92</v>
      </c>
      <c r="D22" s="2" t="s">
        <v>93</v>
      </c>
      <c r="E22">
        <v>144</v>
      </c>
    </row>
    <row r="23" ht="14.25" spans="1:5">
      <c r="A23" s="1">
        <v>1916</v>
      </c>
      <c r="B23" s="1" t="s">
        <v>88</v>
      </c>
      <c r="C23" s="1" t="s">
        <v>94</v>
      </c>
      <c r="D23" s="2" t="s">
        <v>95</v>
      </c>
      <c r="E23">
        <v>156</v>
      </c>
    </row>
    <row r="24" ht="14.25" spans="1:5">
      <c r="A24" s="1">
        <v>1916</v>
      </c>
      <c r="B24" s="1" t="s">
        <v>88</v>
      </c>
      <c r="C24" s="1" t="s">
        <v>97</v>
      </c>
      <c r="D24" s="2" t="s">
        <v>98</v>
      </c>
      <c r="E24">
        <v>165</v>
      </c>
    </row>
    <row r="25" ht="14.25" spans="1:5">
      <c r="A25" s="1">
        <v>1916</v>
      </c>
      <c r="B25" s="1" t="s">
        <v>88</v>
      </c>
      <c r="C25" s="2" t="s">
        <v>99</v>
      </c>
      <c r="D25" s="2" t="s">
        <v>100</v>
      </c>
      <c r="E25">
        <v>184</v>
      </c>
    </row>
    <row r="26" ht="14.25" spans="1:5">
      <c r="A26" s="1">
        <v>1916</v>
      </c>
      <c r="B26" s="1" t="s">
        <v>88</v>
      </c>
      <c r="C26" s="2" t="s">
        <v>102</v>
      </c>
      <c r="D26" s="2" t="s">
        <v>103</v>
      </c>
      <c r="E26">
        <v>123</v>
      </c>
    </row>
    <row r="27" ht="14.25" spans="1:5">
      <c r="A27" s="1">
        <v>1916</v>
      </c>
      <c r="B27" s="1" t="s">
        <v>88</v>
      </c>
      <c r="C27" s="2" t="s">
        <v>105</v>
      </c>
      <c r="D27" s="2" t="s">
        <v>106</v>
      </c>
      <c r="E27">
        <v>147</v>
      </c>
    </row>
    <row r="28" ht="14.25" spans="1:5">
      <c r="A28" s="1">
        <v>1916</v>
      </c>
      <c r="B28" s="1" t="s">
        <v>88</v>
      </c>
      <c r="C28" s="2" t="s">
        <v>107</v>
      </c>
      <c r="D28" s="2" t="s">
        <v>108</v>
      </c>
      <c r="E28">
        <v>162</v>
      </c>
    </row>
    <row r="29" ht="14.25" spans="1:5">
      <c r="A29" s="1">
        <v>1916</v>
      </c>
      <c r="B29" s="1" t="s">
        <v>88</v>
      </c>
      <c r="C29" s="2" t="s">
        <v>110</v>
      </c>
      <c r="D29" s="2" t="s">
        <v>111</v>
      </c>
      <c r="E29">
        <v>175</v>
      </c>
    </row>
    <row r="30" ht="14.25" spans="1:5">
      <c r="A30" s="1">
        <v>1916</v>
      </c>
      <c r="B30" s="1" t="s">
        <v>88</v>
      </c>
      <c r="C30" s="2" t="s">
        <v>113</v>
      </c>
      <c r="D30" s="2" t="s">
        <v>114</v>
      </c>
      <c r="E30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</cp:lastModifiedBy>
  <dcterms:created xsi:type="dcterms:W3CDTF">2026-05-16T14:07:00Z</dcterms:created>
  <dcterms:modified xsi:type="dcterms:W3CDTF">2026-05-27T11:16:42Z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EFD6B8D7767A410A9E4CBBF4B6DFE9ED_11</vt:lpwstr>
  </property>
  <property fmtid="{D5CDD505-2E9C-101B-9397-08002B2CF9AE}" pid="3" name="KSOProductBuildVer">
    <vt:lpwstr>2052-12.1.0.19770</vt:lpwstr>
  </property>
</Properties>
</file>