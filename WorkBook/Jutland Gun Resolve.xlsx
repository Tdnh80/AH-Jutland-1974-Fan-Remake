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60"/>
  </bookViews>
  <sheets>
    <sheet name="损伤表" sheetId="1" r:id="rId1"/>
    <sheet name="命中表 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<sst xmlns="http://schemas.openxmlformats.org/spreadsheetml/2006/main" count="101" uniqueCount="52">
  <si>
    <r>
      <rPr>
        <sz val="12"/>
        <color theme="1"/>
        <rFont val="黑体"/>
        <charset val="134"/>
      </rPr>
      <t>火炮型号</t>
    </r>
  </si>
  <si>
    <t>弹种</t>
  </si>
  <si>
    <r>
      <rPr>
        <sz val="12"/>
        <color theme="1"/>
        <rFont val="黑体"/>
        <charset val="134"/>
      </rPr>
      <t>距离</t>
    </r>
    <r>
      <rPr>
        <sz val="12"/>
        <color theme="1"/>
        <rFont val="Times New Roman"/>
        <charset val="134"/>
      </rPr>
      <t>-</t>
    </r>
    <r>
      <rPr>
        <sz val="12"/>
        <color theme="1"/>
        <rFont val="黑体"/>
        <charset val="134"/>
      </rPr>
      <t>落弹角</t>
    </r>
  </si>
  <si>
    <r>
      <rPr>
        <sz val="12"/>
        <color theme="1"/>
        <rFont val="黑体"/>
        <charset val="134"/>
      </rPr>
      <t>非装甲</t>
    </r>
  </si>
  <si>
    <r>
      <rPr>
        <sz val="12"/>
        <color theme="1"/>
        <rFont val="黑体"/>
        <charset val="134"/>
      </rPr>
      <t>特</t>
    </r>
  </si>
  <si>
    <r>
      <rPr>
        <sz val="12"/>
        <rFont val="黑体"/>
        <charset val="134"/>
      </rPr>
      <t>装甲区命中</t>
    </r>
  </si>
  <si>
    <t>0-10</t>
  </si>
  <si>
    <t>10-20</t>
  </si>
  <si>
    <t>20-30</t>
  </si>
  <si>
    <t>30-40</t>
  </si>
  <si>
    <t>12"/45 (30.5 cm) Mark X</t>
  </si>
  <si>
    <t>APC Mark VIa (4crh)</t>
  </si>
  <si>
    <t>-</t>
  </si>
  <si>
    <t>12"/45 (30.5 cm) Elswick Pattern L</t>
  </si>
  <si>
    <t>APC Mark VI (2crh)</t>
  </si>
  <si>
    <t>12"/50 (30.5 cm) Marks XI,XI* and XII</t>
  </si>
  <si>
    <t>13.5"/45 (34.3 cm) Mark V(L)</t>
  </si>
  <si>
    <t>APC Mark IIa</t>
  </si>
  <si>
    <t>13.5"/45 (34.3 cm) Mark V,VI(H)</t>
  </si>
  <si>
    <t>APC Mark Ia</t>
  </si>
  <si>
    <t>14"/45 (35.6 cm) Mark I</t>
  </si>
  <si>
    <t>15"/42 (38.1 cm) Mark I</t>
  </si>
  <si>
    <t>APC Mark Ia (4crh)</t>
  </si>
  <si>
    <t>28 cm/45 (11") SK L/45</t>
  </si>
  <si>
    <t>APC L/3,2</t>
  </si>
  <si>
    <t>28 cm/50 (11") SK L/50</t>
  </si>
  <si>
    <t>30.5 cm/50 (12") SK L/50</t>
  </si>
  <si>
    <t>APC L/3,4</t>
  </si>
  <si>
    <t>38 cm/45 (14.96") SK L/45</t>
  </si>
  <si>
    <t>APC L/3,5</t>
  </si>
  <si>
    <t>考虑：大角度入射，RN右移一列?</t>
  </si>
  <si>
    <t>致命打击</t>
  </si>
  <si>
    <t>追加打击</t>
  </si>
  <si>
    <t>炮塔命中</t>
  </si>
  <si>
    <t>炮廓命中</t>
  </si>
  <si>
    <t>特殊损伤</t>
  </si>
  <si>
    <t>指挥塔、水中弹、炮管、火控</t>
  </si>
  <si>
    <r>
      <t>命中率</t>
    </r>
    <r>
      <rPr>
        <vertAlign val="superscript"/>
        <sz val="14"/>
        <color theme="0"/>
        <rFont val="宋体"/>
        <charset val="134"/>
      </rPr>
      <t xml:space="preserve">    射击数</t>
    </r>
  </si>
  <si>
    <t>1D10</t>
  </si>
  <si>
    <t>修正</t>
  </si>
  <si>
    <t>0</t>
  </si>
  <si>
    <t>+ 20%</t>
  </si>
  <si>
    <t>向上取整</t>
  </si>
  <si>
    <t>1 - 2</t>
  </si>
  <si>
    <t>+ 10%</t>
  </si>
  <si>
    <t>3 - 6</t>
  </si>
  <si>
    <t>—</t>
  </si>
  <si>
    <t>7 - 8</t>
  </si>
  <si>
    <t>- 10%</t>
  </si>
  <si>
    <t>向下取整</t>
  </si>
  <si>
    <t>9</t>
  </si>
  <si>
    <t>- 20%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</si>
</sst>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vertAlign val="subscript"/>
      <sz val="14"/>
      <color theme="0"/>
      <name val="宋体"/>
      <charset val="134"/>
    </font>
    <font>
      <sz val="14"/>
      <color theme="0"/>
      <name val="黑体"/>
      <charset val="134"/>
    </font>
    <font>
      <sz val="14"/>
      <color theme="0"/>
      <name val="宋体"/>
      <charset val="134"/>
    </font>
    <font>
      <sz val="16"/>
      <color theme="1"/>
      <name val="黑体"/>
      <charset val="134"/>
    </font>
    <font>
      <b/>
      <sz val="16"/>
      <color theme="1"/>
      <name val="等线"/>
      <charset val="134"/>
    </font>
    <font>
      <sz val="20"/>
      <color theme="1"/>
      <name val="黑体"/>
      <charset val="134"/>
    </font>
    <font>
      <sz val="14"/>
      <color theme="1"/>
      <name val="黑体"/>
      <charset val="134"/>
    </font>
    <font>
      <sz val="12"/>
      <color theme="1"/>
      <name val="Times New Roman"/>
      <charset val="134"/>
    </font>
    <font>
      <sz val="12"/>
      <color rgb="FF000000"/>
      <name val="黑体"/>
      <charset val="134"/>
    </font>
    <font>
      <b/>
      <sz val="12"/>
      <color rgb="FF000000"/>
      <name val="等线"/>
      <charset val="134"/>
    </font>
    <font>
      <b/>
      <sz val="12"/>
      <color theme="1"/>
      <name val="等线"/>
      <charset val="134"/>
    </font>
    <font>
      <sz val="12"/>
      <color theme="1"/>
      <name val="等线"/>
      <charset val="134"/>
    </font>
    <font>
      <sz val="12"/>
      <name val="Times New Roman"/>
      <charset val="134"/>
    </font>
    <font>
      <b/>
      <sz val="12"/>
      <color theme="0"/>
      <name val="等线"/>
      <charset val="134"/>
    </font>
    <font>
      <sz val="12"/>
      <color theme="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黑体"/>
      <charset val="134"/>
    </font>
    <font>
      <vertAlign val="superscript"/>
      <sz val="14"/>
      <color theme="0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4874CB"/>
        <bgColor theme="4"/>
      </patternFill>
    </fill>
    <fill>
      <patternFill patternType="solid">
        <fgColor theme="4" tint="0.4"/>
        <bgColor theme="4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 diagonalDown="1">
      <left style="thin">
        <color theme="4"/>
      </left>
      <right/>
      <top style="thin">
        <color theme="4"/>
      </top>
      <bottom style="thin">
        <color theme="4" tint="0.399975585192419"/>
      </bottom>
      <diagonal style="thin">
        <color auto="1"/>
      </diagonal>
    </border>
    <border>
      <left/>
      <right/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6" borderId="1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7" borderId="19" applyNumberFormat="0" applyAlignment="0" applyProtection="0">
      <alignment vertical="center"/>
    </xf>
    <xf numFmtId="0" fontId="26" fillId="18" borderId="20" applyNumberFormat="0" applyAlignment="0" applyProtection="0">
      <alignment vertical="center"/>
    </xf>
    <xf numFmtId="0" fontId="27" fillId="18" borderId="19" applyNumberFormat="0" applyAlignment="0" applyProtection="0">
      <alignment vertical="center"/>
    </xf>
    <xf numFmtId="0" fontId="28" fillId="19" borderId="21" applyNumberFormat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9" fontId="5" fillId="4" borderId="4" xfId="0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9" fontId="5" fillId="6" borderId="4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9" fillId="0" borderId="0" xfId="0" applyFont="1">
      <alignment vertical="center"/>
    </xf>
    <xf numFmtId="0" fontId="9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center" vertical="center"/>
    </xf>
    <xf numFmtId="49" fontId="9" fillId="8" borderId="11" xfId="0" applyNumberFormat="1" applyFont="1" applyFill="1" applyBorder="1" applyAlignment="1">
      <alignment horizontal="center" vertical="center"/>
    </xf>
    <xf numFmtId="0" fontId="9" fillId="9" borderId="0" xfId="0" applyNumberFormat="1" applyFont="1" applyFill="1" applyAlignment="1">
      <alignment horizontal="center" vertical="center"/>
    </xf>
    <xf numFmtId="0" fontId="9" fillId="9" borderId="11" xfId="0" applyNumberFormat="1" applyFont="1" applyFill="1" applyBorder="1" applyAlignment="1">
      <alignment horizontal="center" vertical="center"/>
    </xf>
    <xf numFmtId="0" fontId="9" fillId="7" borderId="7" xfId="0" applyFont="1" applyFill="1" applyBorder="1">
      <alignment vertical="center"/>
    </xf>
    <xf numFmtId="0" fontId="9" fillId="7" borderId="8" xfId="0" applyFont="1" applyFill="1" applyBorder="1">
      <alignment vertical="center"/>
    </xf>
    <xf numFmtId="0" fontId="10" fillId="7" borderId="7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9" fillId="7" borderId="10" xfId="0" applyFont="1" applyFill="1" applyBorder="1">
      <alignment vertical="center"/>
    </xf>
    <xf numFmtId="0" fontId="9" fillId="7" borderId="0" xfId="0" applyFont="1" applyFill="1">
      <alignment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9" fillId="7" borderId="12" xfId="0" applyFont="1" applyFill="1" applyBorder="1">
      <alignment vertical="center"/>
    </xf>
    <xf numFmtId="0" fontId="9" fillId="7" borderId="0" xfId="0" applyFont="1" applyFill="1" applyBorder="1">
      <alignment vertical="center"/>
    </xf>
    <xf numFmtId="0" fontId="12" fillId="7" borderId="0" xfId="0" applyFont="1" applyFill="1" applyBorder="1" applyAlignment="1">
      <alignment horizontal="center" vertical="center"/>
    </xf>
    <xf numFmtId="0" fontId="9" fillId="7" borderId="13" xfId="0" applyFont="1" applyFill="1" applyBorder="1">
      <alignment vertical="center"/>
    </xf>
    <xf numFmtId="0" fontId="1" fillId="7" borderId="13" xfId="0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9" fillId="7" borderId="14" xfId="0" applyFont="1" applyFill="1" applyBorder="1">
      <alignment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2" fillId="7" borderId="14" xfId="0" applyFont="1" applyFill="1" applyBorder="1" applyAlignment="1">
      <alignment horizontal="center" vertical="center"/>
    </xf>
    <xf numFmtId="0" fontId="12" fillId="7" borderId="15" xfId="0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1" fillId="0" borderId="0" xfId="0" applyFont="1" applyFill="1" applyBorder="1">
      <alignment vertical="center"/>
    </xf>
    <xf numFmtId="0" fontId="13" fillId="0" borderId="0" xfId="0" applyFont="1">
      <alignment vertical="center"/>
    </xf>
    <xf numFmtId="0" fontId="13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9" fillId="10" borderId="8" xfId="0" applyFont="1" applyFill="1" applyBorder="1" applyAlignment="1">
      <alignment horizontal="center" vertical="center" wrapText="1"/>
    </xf>
    <xf numFmtId="0" fontId="14" fillId="11" borderId="10" xfId="0" applyFont="1" applyFill="1" applyBorder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9" fillId="10" borderId="0" xfId="0" applyNumberFormat="1" applyFont="1" applyFill="1" applyBorder="1" applyAlignment="1">
      <alignment horizontal="center" vertical="center"/>
    </xf>
    <xf numFmtId="0" fontId="14" fillId="11" borderId="10" xfId="0" applyNumberFormat="1" applyFont="1" applyFill="1" applyBorder="1" applyAlignment="1">
      <alignment horizontal="center" vertical="center"/>
    </xf>
    <xf numFmtId="0" fontId="14" fillId="11" borderId="0" xfId="0" applyNumberFormat="1" applyFont="1" applyFill="1" applyBorder="1" applyAlignment="1">
      <alignment horizontal="center" vertical="center"/>
    </xf>
    <xf numFmtId="0" fontId="14" fillId="11" borderId="0" xfId="0" applyNumberFormat="1" applyFont="1" applyFill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 vertical="center"/>
    </xf>
    <xf numFmtId="0" fontId="15" fillId="13" borderId="8" xfId="0" applyFont="1" applyFill="1" applyBorder="1" applyAlignment="1">
      <alignment horizontal="center" vertical="center"/>
    </xf>
    <xf numFmtId="0" fontId="15" fillId="14" borderId="8" xfId="0" applyFont="1" applyFill="1" applyBorder="1" applyAlignment="1">
      <alignment horizontal="center" vertical="center"/>
    </xf>
    <xf numFmtId="0" fontId="15" fillId="15" borderId="8" xfId="0" applyFont="1" applyFill="1" applyBorder="1" applyAlignment="1">
      <alignment horizontal="center" vertical="center"/>
    </xf>
    <xf numFmtId="0" fontId="15" fillId="12" borderId="10" xfId="0" applyFont="1" applyFill="1" applyBorder="1" applyAlignment="1">
      <alignment horizontal="center" vertical="center"/>
    </xf>
    <xf numFmtId="0" fontId="15" fillId="13" borderId="0" xfId="0" applyFont="1" applyFill="1" applyBorder="1" applyAlignment="1">
      <alignment horizontal="center" vertical="center"/>
    </xf>
    <xf numFmtId="0" fontId="15" fillId="14" borderId="0" xfId="0" applyFont="1" applyFill="1" applyBorder="1" applyAlignment="1">
      <alignment horizontal="center" vertical="center"/>
    </xf>
    <xf numFmtId="0" fontId="15" fillId="15" borderId="0" xfId="0" applyFont="1" applyFill="1" applyBorder="1" applyAlignment="1">
      <alignment horizontal="center" vertical="center"/>
    </xf>
    <xf numFmtId="0" fontId="15" fillId="15" borderId="1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5" fillId="15" borderId="14" xfId="0" applyFont="1" applyFill="1" applyBorder="1" applyAlignment="1">
      <alignment horizontal="center" vertical="center"/>
    </xf>
    <xf numFmtId="0" fontId="15" fillId="12" borderId="14" xfId="0" applyFont="1" applyFill="1" applyBorder="1" applyAlignment="1">
      <alignment horizontal="center" vertical="center"/>
    </xf>
    <xf numFmtId="0" fontId="15" fillId="13" borderId="14" xfId="0" applyFont="1" applyFill="1" applyBorder="1" applyAlignment="1">
      <alignment horizontal="center" vertical="center"/>
    </xf>
    <xf numFmtId="0" fontId="15" fillId="14" borderId="14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" fillId="15" borderId="0" xfId="0" applyFont="1" applyFill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12" borderId="0" xfId="0" applyFont="1" applyFill="1" applyBorder="1">
      <alignment vertical="center"/>
    </xf>
    <xf numFmtId="0" fontId="16" fillId="0" borderId="0" xfId="0" applyFont="1" applyFill="1" applyBorder="1" applyAlignment="1">
      <alignment horizontal="center" vertical="center"/>
    </xf>
    <xf numFmtId="0" fontId="1" fillId="13" borderId="0" xfId="0" applyFont="1" applyFill="1" applyBorder="1">
      <alignment vertical="center"/>
    </xf>
    <xf numFmtId="0" fontId="1" fillId="14" borderId="0" xfId="0" applyFont="1" applyFill="1" applyBorder="1">
      <alignment vertical="center"/>
    </xf>
    <xf numFmtId="0" fontId="1" fillId="1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5" fillId="12" borderId="8" xfId="0" applyFont="1" applyFill="1" applyBorder="1" applyAlignment="1">
      <alignment horizontal="center" vertical="center"/>
    </xf>
    <xf numFmtId="0" fontId="14" fillId="11" borderId="11" xfId="0" applyFont="1" applyFill="1" applyBorder="1" applyAlignment="1">
      <alignment horizontal="center" vertical="center"/>
    </xf>
    <xf numFmtId="0" fontId="14" fillId="11" borderId="11" xfId="0" applyNumberFormat="1" applyFont="1" applyFill="1" applyBorder="1" applyAlignment="1">
      <alignment horizontal="center" vertical="center"/>
    </xf>
    <xf numFmtId="0" fontId="13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874C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2"/>
  <sheetViews>
    <sheetView tabSelected="1" zoomScale="115" zoomScaleNormal="115" workbookViewId="0">
      <selection activeCell="E17" sqref="E17"/>
    </sheetView>
  </sheetViews>
  <sheetFormatPr defaultColWidth="9" defaultRowHeight="20" customHeight="1"/>
  <cols>
    <col min="1" max="1" width="32.75" style="15" customWidth="1"/>
    <col min="2" max="2" width="18.875" style="15" customWidth="1"/>
    <col min="3" max="6" width="6.375" style="15" customWidth="1"/>
    <col min="7" max="26" width="3.33333333333333" style="15" customWidth="1"/>
    <col min="27" max="16384" width="9" style="15"/>
  </cols>
  <sheetData>
    <row r="1" customHeight="1" spans="1:26">
      <c r="A1" s="16" t="s">
        <v>0</v>
      </c>
      <c r="B1" s="17" t="s">
        <v>1</v>
      </c>
      <c r="C1" s="18" t="s">
        <v>2</v>
      </c>
      <c r="D1" s="19"/>
      <c r="E1" s="19"/>
      <c r="F1" s="20"/>
      <c r="G1" s="21" t="s">
        <v>3</v>
      </c>
      <c r="H1" s="22"/>
      <c r="I1" s="65" t="s">
        <v>4</v>
      </c>
      <c r="J1" s="66" t="s">
        <v>5</v>
      </c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101"/>
    </row>
    <row r="2" customHeight="1" spans="1:26">
      <c r="A2" s="23"/>
      <c r="B2" s="24"/>
      <c r="C2" s="25" t="s">
        <v>6</v>
      </c>
      <c r="D2" s="26" t="s">
        <v>7</v>
      </c>
      <c r="E2" s="26" t="s">
        <v>8</v>
      </c>
      <c r="F2" s="27" t="s">
        <v>9</v>
      </c>
      <c r="G2" s="28">
        <v>1</v>
      </c>
      <c r="H2" s="29">
        <v>2</v>
      </c>
      <c r="I2" s="68">
        <v>3</v>
      </c>
      <c r="J2" s="69">
        <v>4</v>
      </c>
      <c r="K2" s="70">
        <v>5</v>
      </c>
      <c r="L2" s="71">
        <v>6</v>
      </c>
      <c r="M2" s="71">
        <v>7</v>
      </c>
      <c r="N2" s="71">
        <v>8</v>
      </c>
      <c r="O2" s="71">
        <v>9</v>
      </c>
      <c r="P2" s="71">
        <v>10</v>
      </c>
      <c r="Q2" s="71">
        <v>11</v>
      </c>
      <c r="R2" s="71">
        <v>12</v>
      </c>
      <c r="S2" s="71">
        <v>13</v>
      </c>
      <c r="T2" s="71">
        <v>14</v>
      </c>
      <c r="U2" s="71">
        <v>15</v>
      </c>
      <c r="V2" s="71">
        <v>16</v>
      </c>
      <c r="W2" s="71">
        <v>17</v>
      </c>
      <c r="X2" s="71">
        <v>18</v>
      </c>
      <c r="Y2" s="71">
        <v>19</v>
      </c>
      <c r="Z2" s="102">
        <v>20</v>
      </c>
    </row>
    <row r="3" customHeight="1" spans="1:26">
      <c r="A3" s="30" t="s">
        <v>10</v>
      </c>
      <c r="B3" s="31" t="s">
        <v>11</v>
      </c>
      <c r="C3" s="32">
        <v>10500</v>
      </c>
      <c r="D3" s="33">
        <v>15000</v>
      </c>
      <c r="E3" s="33">
        <v>18000</v>
      </c>
      <c r="F3" s="34">
        <v>18850</v>
      </c>
      <c r="G3" s="35">
        <v>1</v>
      </c>
      <c r="H3" s="36">
        <v>2</v>
      </c>
      <c r="I3" s="72"/>
      <c r="J3" s="73">
        <v>6</v>
      </c>
      <c r="K3" s="74">
        <v>6</v>
      </c>
      <c r="L3" s="75">
        <v>6</v>
      </c>
      <c r="M3" s="72">
        <v>5</v>
      </c>
      <c r="N3" s="72">
        <v>5</v>
      </c>
      <c r="O3" s="72">
        <v>4</v>
      </c>
      <c r="P3" s="76">
        <v>5</v>
      </c>
      <c r="Q3" s="100">
        <v>5</v>
      </c>
      <c r="R3" s="74">
        <v>4</v>
      </c>
      <c r="S3" s="75">
        <v>4</v>
      </c>
      <c r="T3" s="72">
        <v>3</v>
      </c>
      <c r="U3" s="72">
        <v>2</v>
      </c>
      <c r="V3" s="72" t="s">
        <v>12</v>
      </c>
      <c r="W3" s="72" t="s">
        <v>12</v>
      </c>
      <c r="X3" s="72" t="s">
        <v>12</v>
      </c>
      <c r="Y3" s="72" t="s">
        <v>12</v>
      </c>
      <c r="Z3" s="36" t="s">
        <v>12</v>
      </c>
    </row>
    <row r="4" customHeight="1" spans="1:26">
      <c r="A4" s="37" t="s">
        <v>13</v>
      </c>
      <c r="B4" s="38" t="s">
        <v>14</v>
      </c>
      <c r="C4" s="39">
        <v>10500</v>
      </c>
      <c r="D4" s="40">
        <v>15000</v>
      </c>
      <c r="E4" s="40">
        <v>18000</v>
      </c>
      <c r="F4" s="41">
        <v>18850</v>
      </c>
      <c r="G4" s="42">
        <v>1</v>
      </c>
      <c r="H4" s="43">
        <v>2</v>
      </c>
      <c r="I4" s="47"/>
      <c r="J4" s="77">
        <v>6</v>
      </c>
      <c r="K4" s="78">
        <v>6</v>
      </c>
      <c r="L4" s="79">
        <v>6</v>
      </c>
      <c r="M4" s="47">
        <v>5</v>
      </c>
      <c r="N4" s="47">
        <v>5</v>
      </c>
      <c r="O4" s="47">
        <v>4</v>
      </c>
      <c r="P4" s="80">
        <v>5</v>
      </c>
      <c r="Q4" s="82">
        <v>5</v>
      </c>
      <c r="R4" s="78">
        <v>4</v>
      </c>
      <c r="S4" s="79">
        <v>4</v>
      </c>
      <c r="T4" s="47">
        <v>3</v>
      </c>
      <c r="U4" s="47">
        <v>2</v>
      </c>
      <c r="V4" s="42" t="s">
        <v>12</v>
      </c>
      <c r="W4" s="47" t="s">
        <v>12</v>
      </c>
      <c r="X4" s="47" t="s">
        <v>12</v>
      </c>
      <c r="Y4" s="47" t="s">
        <v>12</v>
      </c>
      <c r="Z4" s="43" t="s">
        <v>12</v>
      </c>
    </row>
    <row r="5" customHeight="1" spans="1:26">
      <c r="A5" s="37" t="s">
        <v>15</v>
      </c>
      <c r="B5" s="38" t="s">
        <v>11</v>
      </c>
      <c r="C5" s="39">
        <v>13500</v>
      </c>
      <c r="D5" s="40">
        <v>19500</v>
      </c>
      <c r="E5" s="40">
        <v>21200</v>
      </c>
      <c r="F5" s="44"/>
      <c r="G5" s="42">
        <v>1</v>
      </c>
      <c r="H5" s="43">
        <v>2</v>
      </c>
      <c r="I5" s="47"/>
      <c r="J5" s="77">
        <v>6</v>
      </c>
      <c r="K5" s="78">
        <v>6</v>
      </c>
      <c r="L5" s="79">
        <v>6</v>
      </c>
      <c r="M5" s="47">
        <v>5</v>
      </c>
      <c r="N5" s="47">
        <v>5</v>
      </c>
      <c r="O5" s="47">
        <v>4</v>
      </c>
      <c r="P5" s="80">
        <v>5</v>
      </c>
      <c r="Q5" s="82">
        <v>5</v>
      </c>
      <c r="R5" s="78">
        <v>5</v>
      </c>
      <c r="S5" s="79">
        <v>5</v>
      </c>
      <c r="T5" s="47">
        <v>4</v>
      </c>
      <c r="U5" s="47">
        <v>4</v>
      </c>
      <c r="V5" s="42" t="s">
        <v>12</v>
      </c>
      <c r="W5" s="47" t="s">
        <v>12</v>
      </c>
      <c r="X5" s="47" t="s">
        <v>12</v>
      </c>
      <c r="Y5" s="47" t="s">
        <v>12</v>
      </c>
      <c r="Z5" s="43" t="s">
        <v>12</v>
      </c>
    </row>
    <row r="6" customHeight="1" spans="1:26">
      <c r="A6" s="37" t="s">
        <v>16</v>
      </c>
      <c r="B6" s="38" t="s">
        <v>17</v>
      </c>
      <c r="C6" s="39">
        <v>13000</v>
      </c>
      <c r="D6" s="40">
        <v>19500</v>
      </c>
      <c r="E6" s="40">
        <v>23820</v>
      </c>
      <c r="F6" s="44"/>
      <c r="G6" s="42">
        <v>2</v>
      </c>
      <c r="H6" s="43">
        <v>4</v>
      </c>
      <c r="I6" s="47"/>
      <c r="J6" s="81">
        <v>9</v>
      </c>
      <c r="K6" s="82">
        <v>9</v>
      </c>
      <c r="L6" s="78">
        <v>9</v>
      </c>
      <c r="M6" s="79">
        <v>9</v>
      </c>
      <c r="N6" s="47">
        <v>8</v>
      </c>
      <c r="O6" s="47">
        <v>8</v>
      </c>
      <c r="P6" s="47">
        <v>7</v>
      </c>
      <c r="Q6" s="80">
        <v>8</v>
      </c>
      <c r="R6" s="82">
        <v>8</v>
      </c>
      <c r="S6" s="78">
        <v>8</v>
      </c>
      <c r="T6" s="79">
        <v>8</v>
      </c>
      <c r="U6" s="47">
        <v>7</v>
      </c>
      <c r="V6" s="47">
        <v>7</v>
      </c>
      <c r="W6" s="47" t="s">
        <v>12</v>
      </c>
      <c r="X6" s="47" t="s">
        <v>12</v>
      </c>
      <c r="Y6" s="47" t="s">
        <v>12</v>
      </c>
      <c r="Z6" s="43" t="s">
        <v>12</v>
      </c>
    </row>
    <row r="7" customHeight="1" spans="1:26">
      <c r="A7" s="37" t="s">
        <v>18</v>
      </c>
      <c r="B7" s="38" t="s">
        <v>19</v>
      </c>
      <c r="C7" s="39">
        <v>13000</v>
      </c>
      <c r="D7" s="40">
        <v>19500</v>
      </c>
      <c r="E7" s="40">
        <v>23740</v>
      </c>
      <c r="F7" s="44"/>
      <c r="G7" s="42">
        <v>2</v>
      </c>
      <c r="H7" s="43">
        <v>4</v>
      </c>
      <c r="I7" s="47"/>
      <c r="J7" s="81">
        <v>9</v>
      </c>
      <c r="K7" s="82">
        <v>9</v>
      </c>
      <c r="L7" s="78">
        <v>9</v>
      </c>
      <c r="M7" s="79">
        <v>9</v>
      </c>
      <c r="N7" s="47">
        <v>8</v>
      </c>
      <c r="O7" s="47">
        <v>8</v>
      </c>
      <c r="P7" s="47">
        <v>7</v>
      </c>
      <c r="Q7" s="80">
        <v>8</v>
      </c>
      <c r="R7" s="82">
        <v>8</v>
      </c>
      <c r="S7" s="78">
        <v>8</v>
      </c>
      <c r="T7" s="79">
        <v>8</v>
      </c>
      <c r="U7" s="47">
        <v>7</v>
      </c>
      <c r="V7" s="47">
        <v>7</v>
      </c>
      <c r="W7" s="47">
        <v>5</v>
      </c>
      <c r="X7" s="47" t="s">
        <v>12</v>
      </c>
      <c r="Y7" s="47" t="s">
        <v>12</v>
      </c>
      <c r="Z7" s="43" t="s">
        <v>12</v>
      </c>
    </row>
    <row r="8" customHeight="1" spans="1:26">
      <c r="A8" s="37" t="s">
        <v>20</v>
      </c>
      <c r="B8" s="38" t="s">
        <v>19</v>
      </c>
      <c r="C8" s="39">
        <v>12000</v>
      </c>
      <c r="D8" s="40">
        <v>18500</v>
      </c>
      <c r="E8" s="40">
        <v>24000</v>
      </c>
      <c r="F8" s="41">
        <v>24400</v>
      </c>
      <c r="G8" s="42">
        <v>3</v>
      </c>
      <c r="H8" s="43">
        <v>5</v>
      </c>
      <c r="I8" s="47"/>
      <c r="J8" s="83">
        <v>10</v>
      </c>
      <c r="K8" s="80">
        <v>12</v>
      </c>
      <c r="L8" s="82">
        <v>12</v>
      </c>
      <c r="M8" s="78">
        <v>12</v>
      </c>
      <c r="N8" s="79">
        <v>12</v>
      </c>
      <c r="O8" s="47">
        <v>10</v>
      </c>
      <c r="P8" s="47">
        <v>10</v>
      </c>
      <c r="Q8" s="47">
        <v>10</v>
      </c>
      <c r="R8" s="80">
        <v>11</v>
      </c>
      <c r="S8" s="82">
        <v>11</v>
      </c>
      <c r="T8" s="78">
        <v>11</v>
      </c>
      <c r="U8" s="79">
        <v>11</v>
      </c>
      <c r="V8" s="47">
        <v>9</v>
      </c>
      <c r="W8" s="47">
        <v>9</v>
      </c>
      <c r="X8" s="47" t="s">
        <v>12</v>
      </c>
      <c r="Y8" s="47" t="s">
        <v>12</v>
      </c>
      <c r="Z8" s="43" t="s">
        <v>12</v>
      </c>
    </row>
    <row r="9" customHeight="1" spans="1:26">
      <c r="A9" s="45" t="s">
        <v>21</v>
      </c>
      <c r="B9" s="46" t="s">
        <v>22</v>
      </c>
      <c r="C9" s="39">
        <v>12000</v>
      </c>
      <c r="D9" s="40">
        <v>18500</v>
      </c>
      <c r="E9" s="40">
        <v>23734</v>
      </c>
      <c r="F9" s="44"/>
      <c r="G9" s="47">
        <v>3</v>
      </c>
      <c r="H9" s="43">
        <v>5</v>
      </c>
      <c r="I9" s="47"/>
      <c r="J9" s="84">
        <v>10</v>
      </c>
      <c r="K9" s="85">
        <v>12</v>
      </c>
      <c r="L9" s="86">
        <v>12</v>
      </c>
      <c r="M9" s="87">
        <v>12</v>
      </c>
      <c r="N9" s="88">
        <v>12</v>
      </c>
      <c r="O9" s="58">
        <v>10</v>
      </c>
      <c r="P9" s="58">
        <v>10</v>
      </c>
      <c r="Q9" s="58">
        <v>10</v>
      </c>
      <c r="R9" s="85">
        <v>11</v>
      </c>
      <c r="S9" s="86">
        <v>11</v>
      </c>
      <c r="T9" s="87">
        <v>11</v>
      </c>
      <c r="U9" s="88">
        <v>11</v>
      </c>
      <c r="V9" s="58">
        <v>9</v>
      </c>
      <c r="W9" s="58">
        <v>9</v>
      </c>
      <c r="X9" s="58">
        <v>7</v>
      </c>
      <c r="Y9" s="58" t="s">
        <v>12</v>
      </c>
      <c r="Z9" s="59" t="s">
        <v>12</v>
      </c>
    </row>
    <row r="10" customHeight="1" spans="1:26">
      <c r="A10" s="37"/>
      <c r="B10" s="48"/>
      <c r="C10" s="49"/>
      <c r="D10" s="49"/>
      <c r="E10" s="49"/>
      <c r="F10" s="49"/>
      <c r="G10" s="50"/>
      <c r="H10" s="50"/>
      <c r="I10" s="50"/>
      <c r="J10" s="47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3"/>
    </row>
    <row r="11" customHeight="1" spans="1:26">
      <c r="A11" s="30" t="s">
        <v>23</v>
      </c>
      <c r="B11" s="46" t="s">
        <v>24</v>
      </c>
      <c r="C11" s="51">
        <v>12000</v>
      </c>
      <c r="D11" s="52">
        <v>17000</v>
      </c>
      <c r="E11" s="52">
        <v>21000</v>
      </c>
      <c r="F11" s="44">
        <v>22944</v>
      </c>
      <c r="G11" s="47" t="s">
        <v>12</v>
      </c>
      <c r="H11" s="43">
        <v>1</v>
      </c>
      <c r="I11" s="47"/>
      <c r="J11" s="73">
        <v>4</v>
      </c>
      <c r="K11" s="74">
        <v>4</v>
      </c>
      <c r="L11" s="75">
        <v>4</v>
      </c>
      <c r="M11" s="72">
        <v>3</v>
      </c>
      <c r="N11" s="72">
        <v>3</v>
      </c>
      <c r="O11" s="72">
        <v>2</v>
      </c>
      <c r="P11" s="76">
        <v>3</v>
      </c>
      <c r="Q11" s="100">
        <v>3</v>
      </c>
      <c r="R11" s="74">
        <v>2</v>
      </c>
      <c r="S11" s="75">
        <v>2</v>
      </c>
      <c r="T11" s="72">
        <v>2</v>
      </c>
      <c r="U11" s="72">
        <v>1</v>
      </c>
      <c r="V11" s="72" t="s">
        <v>12</v>
      </c>
      <c r="W11" s="72" t="s">
        <v>12</v>
      </c>
      <c r="X11" s="72" t="s">
        <v>12</v>
      </c>
      <c r="Y11" s="72" t="s">
        <v>12</v>
      </c>
      <c r="Z11" s="36" t="s">
        <v>12</v>
      </c>
    </row>
    <row r="12" customHeight="1" spans="1:26">
      <c r="A12" s="37" t="s">
        <v>25</v>
      </c>
      <c r="B12" s="38" t="s">
        <v>24</v>
      </c>
      <c r="C12" s="51">
        <v>12000</v>
      </c>
      <c r="D12" s="53">
        <v>17500</v>
      </c>
      <c r="E12" s="53">
        <v>21511</v>
      </c>
      <c r="F12" s="44"/>
      <c r="G12" s="42" t="s">
        <v>12</v>
      </c>
      <c r="H12" s="43">
        <v>1</v>
      </c>
      <c r="I12" s="47"/>
      <c r="J12" s="77">
        <v>4</v>
      </c>
      <c r="K12" s="78">
        <v>4</v>
      </c>
      <c r="L12" s="79">
        <v>4</v>
      </c>
      <c r="M12" s="47">
        <v>3</v>
      </c>
      <c r="N12" s="47">
        <v>3</v>
      </c>
      <c r="O12" s="47">
        <v>2</v>
      </c>
      <c r="P12" s="80">
        <v>3</v>
      </c>
      <c r="Q12" s="82">
        <v>3</v>
      </c>
      <c r="R12" s="78">
        <v>3</v>
      </c>
      <c r="S12" s="79">
        <v>3</v>
      </c>
      <c r="T12" s="47">
        <v>2</v>
      </c>
      <c r="U12" s="47">
        <v>2</v>
      </c>
      <c r="V12" s="42" t="s">
        <v>12</v>
      </c>
      <c r="W12" s="47" t="s">
        <v>12</v>
      </c>
      <c r="X12" s="47" t="s">
        <v>12</v>
      </c>
      <c r="Y12" s="47" t="s">
        <v>12</v>
      </c>
      <c r="Z12" s="43" t="s">
        <v>12</v>
      </c>
    </row>
    <row r="13" customHeight="1" spans="1:26">
      <c r="A13" s="37" t="s">
        <v>26</v>
      </c>
      <c r="B13" s="38" t="s">
        <v>27</v>
      </c>
      <c r="C13" s="51">
        <v>13000</v>
      </c>
      <c r="D13" s="53">
        <v>19000</v>
      </c>
      <c r="E13" s="53">
        <v>22857</v>
      </c>
      <c r="F13" s="44"/>
      <c r="G13" s="42">
        <v>1</v>
      </c>
      <c r="H13" s="43">
        <v>2</v>
      </c>
      <c r="I13" s="47"/>
      <c r="J13" s="81">
        <v>5</v>
      </c>
      <c r="K13" s="82">
        <v>5</v>
      </c>
      <c r="L13" s="78">
        <v>5</v>
      </c>
      <c r="M13" s="79">
        <v>5</v>
      </c>
      <c r="N13" s="47">
        <v>4</v>
      </c>
      <c r="O13" s="47">
        <v>4</v>
      </c>
      <c r="P13" s="47">
        <v>3</v>
      </c>
      <c r="Q13" s="80">
        <v>4</v>
      </c>
      <c r="R13" s="82">
        <v>4</v>
      </c>
      <c r="S13" s="78">
        <v>4</v>
      </c>
      <c r="T13" s="79">
        <v>4</v>
      </c>
      <c r="U13" s="47">
        <v>3</v>
      </c>
      <c r="V13" s="47">
        <v>3</v>
      </c>
      <c r="W13" s="47" t="s">
        <v>12</v>
      </c>
      <c r="X13" s="47" t="s">
        <v>12</v>
      </c>
      <c r="Y13" s="47" t="s">
        <v>12</v>
      </c>
      <c r="Z13" s="43" t="s">
        <v>12</v>
      </c>
    </row>
    <row r="14" customHeight="1" spans="1:26">
      <c r="A14" s="45" t="s">
        <v>28</v>
      </c>
      <c r="B14" s="54" t="s">
        <v>29</v>
      </c>
      <c r="C14" s="55">
        <v>13000</v>
      </c>
      <c r="D14" s="56">
        <v>19500</v>
      </c>
      <c r="E14" s="56">
        <v>22146</v>
      </c>
      <c r="F14" s="57"/>
      <c r="G14" s="58">
        <v>3</v>
      </c>
      <c r="H14" s="59">
        <v>4</v>
      </c>
      <c r="I14" s="58"/>
      <c r="J14" s="84">
        <v>9</v>
      </c>
      <c r="K14" s="89">
        <v>9</v>
      </c>
      <c r="L14" s="85">
        <v>11</v>
      </c>
      <c r="M14" s="86">
        <v>11</v>
      </c>
      <c r="N14" s="87">
        <v>11</v>
      </c>
      <c r="O14" s="88">
        <v>11</v>
      </c>
      <c r="P14" s="58">
        <v>9</v>
      </c>
      <c r="Q14" s="58">
        <v>9</v>
      </c>
      <c r="R14" s="58">
        <v>9</v>
      </c>
      <c r="S14" s="85">
        <v>10</v>
      </c>
      <c r="T14" s="86">
        <v>10</v>
      </c>
      <c r="U14" s="87">
        <v>10</v>
      </c>
      <c r="V14" s="88">
        <v>10</v>
      </c>
      <c r="W14" s="58">
        <v>8</v>
      </c>
      <c r="X14" s="58">
        <v>8</v>
      </c>
      <c r="Y14" s="58" t="s">
        <v>12</v>
      </c>
      <c r="Z14" s="59" t="s">
        <v>12</v>
      </c>
    </row>
    <row r="15" customHeight="1" spans="1:26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customHeight="1" spans="1:26">
      <c r="A16" s="60" t="s">
        <v>30</v>
      </c>
      <c r="B16" s="60"/>
      <c r="C16" s="60"/>
      <c r="D16" s="60"/>
      <c r="E16" s="60"/>
      <c r="F16" s="60"/>
      <c r="G16" s="60"/>
      <c r="H16" s="61"/>
      <c r="I16" s="61"/>
      <c r="J16" s="90"/>
      <c r="K16" s="91" t="s">
        <v>31</v>
      </c>
      <c r="L16" s="91"/>
      <c r="M16" s="91"/>
      <c r="N16" s="91"/>
      <c r="O16" s="92"/>
      <c r="P16" s="92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customHeight="1" spans="1:26">
      <c r="A17" s="60"/>
      <c r="B17" s="60"/>
      <c r="C17" s="60"/>
      <c r="D17" s="60"/>
      <c r="E17" s="60"/>
      <c r="F17" s="60"/>
      <c r="G17" s="60"/>
      <c r="H17" s="61"/>
      <c r="I17" s="61"/>
      <c r="J17" s="93"/>
      <c r="K17" s="91" t="s">
        <v>32</v>
      </c>
      <c r="L17" s="91"/>
      <c r="M17" s="91"/>
      <c r="N17" s="91"/>
      <c r="O17" s="92"/>
      <c r="P17" s="94"/>
      <c r="Q17" s="94"/>
      <c r="R17" s="94"/>
      <c r="S17" s="94"/>
      <c r="T17" s="92"/>
      <c r="U17" s="92"/>
      <c r="V17" s="92"/>
      <c r="W17" s="92"/>
      <c r="X17" s="92"/>
      <c r="Y17" s="92"/>
      <c r="Z17" s="92"/>
    </row>
    <row r="18" customHeight="1" spans="1:26">
      <c r="A18" s="60"/>
      <c r="B18" s="60"/>
      <c r="C18" s="60"/>
      <c r="D18" s="60"/>
      <c r="E18" s="60"/>
      <c r="F18" s="60"/>
      <c r="G18" s="60"/>
      <c r="H18" s="61"/>
      <c r="I18" s="61"/>
      <c r="J18" s="95"/>
      <c r="K18" s="91" t="s">
        <v>33</v>
      </c>
      <c r="L18" s="91"/>
      <c r="M18" s="91"/>
      <c r="N18" s="91"/>
      <c r="O18" s="92"/>
      <c r="P18" s="92"/>
      <c r="Q18" s="92"/>
      <c r="R18" s="94"/>
      <c r="S18" s="94"/>
      <c r="T18" s="94"/>
      <c r="U18" s="94"/>
      <c r="V18" s="92"/>
      <c r="W18" s="92"/>
      <c r="X18" s="92"/>
      <c r="Y18" s="92"/>
      <c r="Z18" s="92"/>
    </row>
    <row r="19" customHeight="1" spans="1:27">
      <c r="A19" s="60"/>
      <c r="B19" s="60"/>
      <c r="C19" s="60"/>
      <c r="D19" s="60"/>
      <c r="E19" s="60"/>
      <c r="F19" s="60"/>
      <c r="G19" s="60"/>
      <c r="H19" s="61"/>
      <c r="I19" s="61"/>
      <c r="J19" s="96"/>
      <c r="K19" s="91" t="s">
        <v>34</v>
      </c>
      <c r="L19" s="91"/>
      <c r="M19" s="91"/>
      <c r="N19" s="91"/>
      <c r="O19" s="92"/>
      <c r="P19" s="92"/>
      <c r="Q19" s="94"/>
      <c r="R19" s="94"/>
      <c r="S19" s="94"/>
      <c r="T19" s="94"/>
      <c r="U19" s="92"/>
      <c r="V19" s="92"/>
      <c r="W19" s="92"/>
      <c r="X19" s="92"/>
      <c r="Y19" s="92"/>
      <c r="Z19" s="92"/>
      <c r="AA19" s="103"/>
    </row>
    <row r="20" customHeight="1" spans="1:27">
      <c r="A20" s="60"/>
      <c r="B20" s="60"/>
      <c r="C20" s="60"/>
      <c r="D20" s="60"/>
      <c r="E20" s="60"/>
      <c r="F20" s="60"/>
      <c r="G20" s="60"/>
      <c r="H20" s="61"/>
      <c r="I20" s="61"/>
      <c r="J20" s="97"/>
      <c r="K20" s="92" t="s">
        <v>35</v>
      </c>
      <c r="L20" s="94"/>
      <c r="M20" s="94"/>
      <c r="N20" s="94"/>
      <c r="O20" s="92" t="s">
        <v>36</v>
      </c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103"/>
    </row>
    <row r="21" customHeight="1" spans="7:27">
      <c r="G21" s="62"/>
      <c r="H21" s="63"/>
      <c r="I21" s="64"/>
      <c r="J21" s="98"/>
      <c r="K21" s="98"/>
      <c r="L21" s="98"/>
      <c r="M21" s="99"/>
      <c r="N21" s="99"/>
      <c r="O21" s="99"/>
      <c r="P21" s="98"/>
      <c r="Q21" s="98"/>
      <c r="R21" s="98"/>
      <c r="S21" s="98"/>
      <c r="T21" s="99"/>
      <c r="U21" s="99"/>
      <c r="V21" s="99"/>
      <c r="W21" s="99"/>
      <c r="X21" s="99"/>
      <c r="Y21" s="99"/>
      <c r="Z21" s="99"/>
      <c r="AA21" s="103"/>
    </row>
    <row r="22" customHeight="1" spans="8:26"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</sheetData>
  <mergeCells count="11">
    <mergeCell ref="C1:F1"/>
    <mergeCell ref="G1:H1"/>
    <mergeCell ref="J1:Z1"/>
    <mergeCell ref="K16:N16"/>
    <mergeCell ref="K17:N17"/>
    <mergeCell ref="K18:N18"/>
    <mergeCell ref="K19:N19"/>
    <mergeCell ref="K20:N20"/>
    <mergeCell ref="O20:Z20"/>
    <mergeCell ref="A1:A2"/>
    <mergeCell ref="B1:B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workbookViewId="0">
      <selection activeCell="Q9" sqref="Q9"/>
    </sheetView>
  </sheetViews>
  <sheetFormatPr defaultColWidth="9" defaultRowHeight="14.25"/>
  <cols>
    <col min="1" max="1" width="15.625" style="1" customWidth="1"/>
    <col min="2" max="15" width="6.625" style="1" customWidth="1"/>
    <col min="16" max="16" width="9" style="1"/>
    <col min="17" max="17" width="15.625" style="1" customWidth="1"/>
    <col min="18" max="18" width="20.625" style="1" customWidth="1"/>
    <col min="19" max="16384" width="9" style="1"/>
  </cols>
  <sheetData>
    <row r="1" spans="1:18">
      <c r="A1" s="2" t="s">
        <v>37</v>
      </c>
      <c r="B1" s="3">
        <v>10</v>
      </c>
      <c r="C1" s="3">
        <v>20</v>
      </c>
      <c r="D1" s="3">
        <v>30</v>
      </c>
      <c r="E1" s="3">
        <v>40</v>
      </c>
      <c r="F1" s="4">
        <v>50</v>
      </c>
      <c r="G1" s="3">
        <v>60</v>
      </c>
      <c r="H1" s="3">
        <v>70</v>
      </c>
      <c r="I1" s="3">
        <v>80</v>
      </c>
      <c r="J1" s="3">
        <v>90</v>
      </c>
      <c r="K1" s="3">
        <v>100</v>
      </c>
      <c r="L1" s="3">
        <v>110</v>
      </c>
      <c r="M1" s="3">
        <v>120</v>
      </c>
      <c r="N1" s="3">
        <v>130</v>
      </c>
      <c r="O1" s="9">
        <v>140</v>
      </c>
      <c r="Q1" s="10" t="s">
        <v>38</v>
      </c>
      <c r="R1" s="11" t="s">
        <v>39</v>
      </c>
    </row>
    <row r="2" ht="20" customHeight="1" spans="1:18">
      <c r="A2" s="5"/>
      <c r="B2" s="3"/>
      <c r="C2" s="3"/>
      <c r="D2" s="3"/>
      <c r="E2" s="3"/>
      <c r="F2" s="4"/>
      <c r="G2" s="3"/>
      <c r="H2" s="3"/>
      <c r="I2" s="3"/>
      <c r="J2" s="3"/>
      <c r="K2" s="3"/>
      <c r="L2" s="3"/>
      <c r="M2" s="3"/>
      <c r="N2" s="3"/>
      <c r="O2" s="9"/>
      <c r="Q2" s="12"/>
      <c r="R2" s="13"/>
    </row>
    <row r="3" ht="30" customHeight="1" spans="1:19">
      <c r="A3" s="6">
        <v>0.01</v>
      </c>
      <c r="B3" s="7">
        <f>ROUND($A3*B$1,0)</f>
        <v>0</v>
      </c>
      <c r="C3" s="7">
        <f t="shared" ref="C3:O3" si="0">ROUND($A3*C$1,0)</f>
        <v>0</v>
      </c>
      <c r="D3" s="7">
        <f t="shared" si="0"/>
        <v>0</v>
      </c>
      <c r="E3" s="7">
        <f t="shared" si="0"/>
        <v>0</v>
      </c>
      <c r="F3" s="7">
        <f t="shared" si="0"/>
        <v>1</v>
      </c>
      <c r="G3" s="7">
        <f t="shared" si="0"/>
        <v>1</v>
      </c>
      <c r="H3" s="7">
        <f t="shared" si="0"/>
        <v>1</v>
      </c>
      <c r="I3" s="7">
        <f t="shared" si="0"/>
        <v>1</v>
      </c>
      <c r="J3" s="7">
        <f t="shared" si="0"/>
        <v>1</v>
      </c>
      <c r="K3" s="7">
        <f t="shared" si="0"/>
        <v>1</v>
      </c>
      <c r="L3" s="7">
        <f t="shared" si="0"/>
        <v>1</v>
      </c>
      <c r="M3" s="7">
        <f t="shared" si="0"/>
        <v>1</v>
      </c>
      <c r="N3" s="7">
        <f t="shared" si="0"/>
        <v>1</v>
      </c>
      <c r="O3" s="7">
        <f t="shared" si="0"/>
        <v>1</v>
      </c>
      <c r="Q3" s="14" t="s">
        <v>40</v>
      </c>
      <c r="R3" s="14" t="s">
        <v>41</v>
      </c>
      <c r="S3" s="1" t="s">
        <v>42</v>
      </c>
    </row>
    <row r="4" ht="30" customHeight="1" spans="1:19">
      <c r="A4" s="8">
        <v>0.02</v>
      </c>
      <c r="B4" s="7">
        <f t="shared" ref="B4:B32" si="1">ROUND($A4*B$1,0)</f>
        <v>0</v>
      </c>
      <c r="C4" s="7">
        <f t="shared" ref="C4:C32" si="2">ROUND($A4*C$1,0)</f>
        <v>0</v>
      </c>
      <c r="D4" s="7">
        <f t="shared" ref="D4:D32" si="3">ROUND($A4*D$1,0)</f>
        <v>1</v>
      </c>
      <c r="E4" s="7">
        <f t="shared" ref="E4:E32" si="4">ROUND($A4*E$1,0)</f>
        <v>1</v>
      </c>
      <c r="F4" s="7">
        <f t="shared" ref="F4:F32" si="5">ROUND($A4*F$1,0)</f>
        <v>1</v>
      </c>
      <c r="G4" s="7">
        <f t="shared" ref="G4:G32" si="6">ROUND($A4*G$1,0)</f>
        <v>1</v>
      </c>
      <c r="H4" s="7">
        <f t="shared" ref="H4:H32" si="7">ROUND($A4*H$1,0)</f>
        <v>1</v>
      </c>
      <c r="I4" s="7">
        <f t="shared" ref="I4:I32" si="8">ROUND($A4*I$1,0)</f>
        <v>2</v>
      </c>
      <c r="J4" s="7">
        <f t="shared" ref="J4:J32" si="9">ROUND($A4*J$1,0)</f>
        <v>2</v>
      </c>
      <c r="K4" s="7">
        <f t="shared" ref="K4:K32" si="10">ROUND($A4*K$1,0)</f>
        <v>2</v>
      </c>
      <c r="L4" s="7">
        <f t="shared" ref="L4:L32" si="11">ROUND($A4*L$1,0)</f>
        <v>2</v>
      </c>
      <c r="M4" s="7">
        <f t="shared" ref="M4:M32" si="12">ROUND($A4*M$1,0)</f>
        <v>2</v>
      </c>
      <c r="N4" s="7">
        <f t="shared" ref="N4:N32" si="13">ROUND($A4*N$1,0)</f>
        <v>3</v>
      </c>
      <c r="O4" s="7">
        <f t="shared" ref="O4:O32" si="14">ROUND($A4*O$1,0)</f>
        <v>3</v>
      </c>
      <c r="Q4" s="14" t="s">
        <v>43</v>
      </c>
      <c r="R4" s="14" t="s">
        <v>44</v>
      </c>
      <c r="S4" s="1" t="s">
        <v>42</v>
      </c>
    </row>
    <row r="5" ht="30" customHeight="1" spans="1:18">
      <c r="A5" s="6">
        <v>0.03</v>
      </c>
      <c r="B5" s="7">
        <f t="shared" si="1"/>
        <v>0</v>
      </c>
      <c r="C5" s="7">
        <f t="shared" si="2"/>
        <v>1</v>
      </c>
      <c r="D5" s="7">
        <f t="shared" si="3"/>
        <v>1</v>
      </c>
      <c r="E5" s="7">
        <f t="shared" si="4"/>
        <v>1</v>
      </c>
      <c r="F5" s="7">
        <f t="shared" si="5"/>
        <v>2</v>
      </c>
      <c r="G5" s="7">
        <f t="shared" si="6"/>
        <v>2</v>
      </c>
      <c r="H5" s="7">
        <f t="shared" si="7"/>
        <v>2</v>
      </c>
      <c r="I5" s="7">
        <f t="shared" si="8"/>
        <v>2</v>
      </c>
      <c r="J5" s="7">
        <f t="shared" si="9"/>
        <v>3</v>
      </c>
      <c r="K5" s="7">
        <f t="shared" si="10"/>
        <v>3</v>
      </c>
      <c r="L5" s="7">
        <f t="shared" si="11"/>
        <v>3</v>
      </c>
      <c r="M5" s="7">
        <f t="shared" si="12"/>
        <v>4</v>
      </c>
      <c r="N5" s="7">
        <f t="shared" si="13"/>
        <v>4</v>
      </c>
      <c r="O5" s="7">
        <f t="shared" si="14"/>
        <v>4</v>
      </c>
      <c r="Q5" s="14" t="s">
        <v>45</v>
      </c>
      <c r="R5" s="14" t="s">
        <v>46</v>
      </c>
    </row>
    <row r="6" ht="30" customHeight="1" spans="1:19">
      <c r="A6" s="8">
        <v>0.04</v>
      </c>
      <c r="B6" s="7">
        <f t="shared" si="1"/>
        <v>0</v>
      </c>
      <c r="C6" s="7">
        <f t="shared" si="2"/>
        <v>1</v>
      </c>
      <c r="D6" s="7">
        <f t="shared" si="3"/>
        <v>1</v>
      </c>
      <c r="E6" s="7">
        <f t="shared" si="4"/>
        <v>2</v>
      </c>
      <c r="F6" s="7">
        <f t="shared" si="5"/>
        <v>2</v>
      </c>
      <c r="G6" s="7">
        <f t="shared" si="6"/>
        <v>2</v>
      </c>
      <c r="H6" s="7">
        <f t="shared" si="7"/>
        <v>3</v>
      </c>
      <c r="I6" s="7">
        <f t="shared" si="8"/>
        <v>3</v>
      </c>
      <c r="J6" s="7">
        <f t="shared" si="9"/>
        <v>4</v>
      </c>
      <c r="K6" s="7">
        <f t="shared" si="10"/>
        <v>4</v>
      </c>
      <c r="L6" s="7">
        <f t="shared" si="11"/>
        <v>4</v>
      </c>
      <c r="M6" s="7">
        <f t="shared" si="12"/>
        <v>5</v>
      </c>
      <c r="N6" s="7">
        <f t="shared" si="13"/>
        <v>5</v>
      </c>
      <c r="O6" s="7">
        <f t="shared" si="14"/>
        <v>6</v>
      </c>
      <c r="Q6" s="14" t="s">
        <v>47</v>
      </c>
      <c r="R6" s="14" t="s">
        <v>48</v>
      </c>
      <c r="S6" s="1" t="s">
        <v>49</v>
      </c>
    </row>
    <row r="7" ht="30" customHeight="1" spans="1:19">
      <c r="A7" s="6">
        <v>0.05</v>
      </c>
      <c r="B7" s="7">
        <f t="shared" si="1"/>
        <v>1</v>
      </c>
      <c r="C7" s="7">
        <f t="shared" si="2"/>
        <v>1</v>
      </c>
      <c r="D7" s="7">
        <f t="shared" si="3"/>
        <v>2</v>
      </c>
      <c r="E7" s="7">
        <f t="shared" si="4"/>
        <v>2</v>
      </c>
      <c r="F7" s="7">
        <f t="shared" si="5"/>
        <v>3</v>
      </c>
      <c r="G7" s="7">
        <f t="shared" si="6"/>
        <v>3</v>
      </c>
      <c r="H7" s="7">
        <f t="shared" si="7"/>
        <v>4</v>
      </c>
      <c r="I7" s="7">
        <f t="shared" si="8"/>
        <v>4</v>
      </c>
      <c r="J7" s="7">
        <f t="shared" si="9"/>
        <v>5</v>
      </c>
      <c r="K7" s="7">
        <f t="shared" si="10"/>
        <v>5</v>
      </c>
      <c r="L7" s="7">
        <f t="shared" si="11"/>
        <v>6</v>
      </c>
      <c r="M7" s="7">
        <f t="shared" si="12"/>
        <v>6</v>
      </c>
      <c r="N7" s="7">
        <f t="shared" si="13"/>
        <v>7</v>
      </c>
      <c r="O7" s="7">
        <f t="shared" si="14"/>
        <v>7</v>
      </c>
      <c r="Q7" s="14" t="s">
        <v>50</v>
      </c>
      <c r="R7" s="14" t="s">
        <v>51</v>
      </c>
      <c r="S7" s="1" t="s">
        <v>49</v>
      </c>
    </row>
    <row r="8" ht="30" customHeight="1" spans="1:15">
      <c r="A8" s="8">
        <v>0.06</v>
      </c>
      <c r="B8" s="7">
        <f t="shared" si="1"/>
        <v>1</v>
      </c>
      <c r="C8" s="7">
        <f t="shared" si="2"/>
        <v>1</v>
      </c>
      <c r="D8" s="7">
        <f t="shared" si="3"/>
        <v>2</v>
      </c>
      <c r="E8" s="7">
        <f t="shared" si="4"/>
        <v>2</v>
      </c>
      <c r="F8" s="7">
        <f t="shared" si="5"/>
        <v>3</v>
      </c>
      <c r="G8" s="7">
        <f t="shared" si="6"/>
        <v>4</v>
      </c>
      <c r="H8" s="7">
        <f t="shared" si="7"/>
        <v>4</v>
      </c>
      <c r="I8" s="7">
        <f t="shared" si="8"/>
        <v>5</v>
      </c>
      <c r="J8" s="7">
        <f t="shared" si="9"/>
        <v>5</v>
      </c>
      <c r="K8" s="7">
        <f t="shared" si="10"/>
        <v>6</v>
      </c>
      <c r="L8" s="7">
        <f t="shared" si="11"/>
        <v>7</v>
      </c>
      <c r="M8" s="7">
        <f t="shared" si="12"/>
        <v>7</v>
      </c>
      <c r="N8" s="7">
        <f t="shared" si="13"/>
        <v>8</v>
      </c>
      <c r="O8" s="7">
        <f t="shared" si="14"/>
        <v>8</v>
      </c>
    </row>
    <row r="9" ht="30" customHeight="1" spans="1:15">
      <c r="A9" s="6">
        <v>0.07</v>
      </c>
      <c r="B9" s="7">
        <f t="shared" si="1"/>
        <v>1</v>
      </c>
      <c r="C9" s="7">
        <f t="shared" si="2"/>
        <v>1</v>
      </c>
      <c r="D9" s="7">
        <f t="shared" si="3"/>
        <v>2</v>
      </c>
      <c r="E9" s="7">
        <f t="shared" si="4"/>
        <v>3</v>
      </c>
      <c r="F9" s="7">
        <f t="shared" si="5"/>
        <v>4</v>
      </c>
      <c r="G9" s="7">
        <f t="shared" si="6"/>
        <v>4</v>
      </c>
      <c r="H9" s="7">
        <f t="shared" si="7"/>
        <v>5</v>
      </c>
      <c r="I9" s="7">
        <f t="shared" si="8"/>
        <v>6</v>
      </c>
      <c r="J9" s="7">
        <f t="shared" si="9"/>
        <v>6</v>
      </c>
      <c r="K9" s="7">
        <f t="shared" si="10"/>
        <v>7</v>
      </c>
      <c r="L9" s="7">
        <f t="shared" si="11"/>
        <v>8</v>
      </c>
      <c r="M9" s="7">
        <f t="shared" si="12"/>
        <v>8</v>
      </c>
      <c r="N9" s="7">
        <f t="shared" si="13"/>
        <v>9</v>
      </c>
      <c r="O9" s="7">
        <f t="shared" si="14"/>
        <v>10</v>
      </c>
    </row>
    <row r="10" ht="30" customHeight="1" spans="1:15">
      <c r="A10" s="8">
        <v>0.08</v>
      </c>
      <c r="B10" s="7">
        <f t="shared" si="1"/>
        <v>1</v>
      </c>
      <c r="C10" s="7">
        <f t="shared" si="2"/>
        <v>2</v>
      </c>
      <c r="D10" s="7">
        <f t="shared" si="3"/>
        <v>2</v>
      </c>
      <c r="E10" s="7">
        <f t="shared" si="4"/>
        <v>3</v>
      </c>
      <c r="F10" s="7">
        <f t="shared" si="5"/>
        <v>4</v>
      </c>
      <c r="G10" s="7">
        <f t="shared" si="6"/>
        <v>5</v>
      </c>
      <c r="H10" s="7">
        <f t="shared" si="7"/>
        <v>6</v>
      </c>
      <c r="I10" s="7">
        <f t="shared" si="8"/>
        <v>6</v>
      </c>
      <c r="J10" s="7">
        <f t="shared" si="9"/>
        <v>7</v>
      </c>
      <c r="K10" s="7">
        <f t="shared" si="10"/>
        <v>8</v>
      </c>
      <c r="L10" s="7">
        <f t="shared" si="11"/>
        <v>9</v>
      </c>
      <c r="M10" s="7">
        <f t="shared" si="12"/>
        <v>10</v>
      </c>
      <c r="N10" s="7">
        <f t="shared" si="13"/>
        <v>10</v>
      </c>
      <c r="O10" s="7">
        <f t="shared" si="14"/>
        <v>11</v>
      </c>
    </row>
    <row r="11" ht="30" customHeight="1" spans="1:15">
      <c r="A11" s="6">
        <v>0.09</v>
      </c>
      <c r="B11" s="7">
        <f t="shared" si="1"/>
        <v>1</v>
      </c>
      <c r="C11" s="7">
        <f t="shared" si="2"/>
        <v>2</v>
      </c>
      <c r="D11" s="7">
        <f t="shared" si="3"/>
        <v>3</v>
      </c>
      <c r="E11" s="7">
        <f t="shared" si="4"/>
        <v>4</v>
      </c>
      <c r="F11" s="7">
        <f t="shared" si="5"/>
        <v>5</v>
      </c>
      <c r="G11" s="7">
        <f t="shared" si="6"/>
        <v>5</v>
      </c>
      <c r="H11" s="7">
        <f t="shared" si="7"/>
        <v>6</v>
      </c>
      <c r="I11" s="7">
        <f t="shared" si="8"/>
        <v>7</v>
      </c>
      <c r="J11" s="7">
        <f t="shared" si="9"/>
        <v>8</v>
      </c>
      <c r="K11" s="7">
        <f t="shared" si="10"/>
        <v>9</v>
      </c>
      <c r="L11" s="7">
        <f t="shared" si="11"/>
        <v>10</v>
      </c>
      <c r="M11" s="7">
        <f t="shared" si="12"/>
        <v>11</v>
      </c>
      <c r="N11" s="7">
        <f t="shared" si="13"/>
        <v>12</v>
      </c>
      <c r="O11" s="7">
        <f t="shared" si="14"/>
        <v>13</v>
      </c>
    </row>
    <row r="12" ht="30" customHeight="1" spans="1:15">
      <c r="A12" s="8">
        <v>0.1</v>
      </c>
      <c r="B12" s="7">
        <f t="shared" si="1"/>
        <v>1</v>
      </c>
      <c r="C12" s="7">
        <f t="shared" si="2"/>
        <v>2</v>
      </c>
      <c r="D12" s="7">
        <f t="shared" si="3"/>
        <v>3</v>
      </c>
      <c r="E12" s="7">
        <f t="shared" si="4"/>
        <v>4</v>
      </c>
      <c r="F12" s="7">
        <f t="shared" si="5"/>
        <v>5</v>
      </c>
      <c r="G12" s="7">
        <f t="shared" si="6"/>
        <v>6</v>
      </c>
      <c r="H12" s="7">
        <f t="shared" si="7"/>
        <v>7</v>
      </c>
      <c r="I12" s="7">
        <f t="shared" si="8"/>
        <v>8</v>
      </c>
      <c r="J12" s="7">
        <f t="shared" si="9"/>
        <v>9</v>
      </c>
      <c r="K12" s="7">
        <f t="shared" si="10"/>
        <v>10</v>
      </c>
      <c r="L12" s="7">
        <f t="shared" si="11"/>
        <v>11</v>
      </c>
      <c r="M12" s="7">
        <f t="shared" si="12"/>
        <v>12</v>
      </c>
      <c r="N12" s="7">
        <f t="shared" si="13"/>
        <v>13</v>
      </c>
      <c r="O12" s="7">
        <f t="shared" si="14"/>
        <v>14</v>
      </c>
    </row>
    <row r="13" ht="30" customHeight="1" spans="1:15">
      <c r="A13" s="6">
        <v>0.11</v>
      </c>
      <c r="B13" s="7">
        <f t="shared" si="1"/>
        <v>1</v>
      </c>
      <c r="C13" s="7">
        <f t="shared" si="2"/>
        <v>2</v>
      </c>
      <c r="D13" s="7">
        <f t="shared" si="3"/>
        <v>3</v>
      </c>
      <c r="E13" s="7">
        <f t="shared" si="4"/>
        <v>4</v>
      </c>
      <c r="F13" s="7">
        <f t="shared" si="5"/>
        <v>6</v>
      </c>
      <c r="G13" s="7">
        <f t="shared" si="6"/>
        <v>7</v>
      </c>
      <c r="H13" s="7">
        <f t="shared" si="7"/>
        <v>8</v>
      </c>
      <c r="I13" s="7">
        <f t="shared" si="8"/>
        <v>9</v>
      </c>
      <c r="J13" s="7">
        <f t="shared" si="9"/>
        <v>10</v>
      </c>
      <c r="K13" s="7">
        <f t="shared" si="10"/>
        <v>11</v>
      </c>
      <c r="L13" s="7">
        <f t="shared" si="11"/>
        <v>12</v>
      </c>
      <c r="M13" s="7">
        <f t="shared" si="12"/>
        <v>13</v>
      </c>
      <c r="N13" s="7">
        <f t="shared" si="13"/>
        <v>14</v>
      </c>
      <c r="O13" s="7">
        <f t="shared" si="14"/>
        <v>15</v>
      </c>
    </row>
    <row r="14" ht="30" customHeight="1" spans="1:15">
      <c r="A14" s="8">
        <v>0.12</v>
      </c>
      <c r="B14" s="7">
        <f t="shared" si="1"/>
        <v>1</v>
      </c>
      <c r="C14" s="7">
        <f t="shared" si="2"/>
        <v>2</v>
      </c>
      <c r="D14" s="7">
        <f t="shared" si="3"/>
        <v>4</v>
      </c>
      <c r="E14" s="7">
        <f t="shared" si="4"/>
        <v>5</v>
      </c>
      <c r="F14" s="7">
        <f t="shared" si="5"/>
        <v>6</v>
      </c>
      <c r="G14" s="7">
        <f t="shared" si="6"/>
        <v>7</v>
      </c>
      <c r="H14" s="7">
        <f t="shared" si="7"/>
        <v>8</v>
      </c>
      <c r="I14" s="7">
        <f t="shared" si="8"/>
        <v>10</v>
      </c>
      <c r="J14" s="7">
        <f t="shared" si="9"/>
        <v>11</v>
      </c>
      <c r="K14" s="7">
        <f t="shared" si="10"/>
        <v>12</v>
      </c>
      <c r="L14" s="7">
        <f t="shared" si="11"/>
        <v>13</v>
      </c>
      <c r="M14" s="7">
        <f t="shared" si="12"/>
        <v>14</v>
      </c>
      <c r="N14" s="7">
        <f t="shared" si="13"/>
        <v>16</v>
      </c>
      <c r="O14" s="7">
        <f t="shared" si="14"/>
        <v>17</v>
      </c>
    </row>
    <row r="15" ht="30" customHeight="1" spans="1:15">
      <c r="A15" s="6">
        <v>0.13</v>
      </c>
      <c r="B15" s="7">
        <f t="shared" si="1"/>
        <v>1</v>
      </c>
      <c r="C15" s="7">
        <f t="shared" si="2"/>
        <v>3</v>
      </c>
      <c r="D15" s="7">
        <f t="shared" si="3"/>
        <v>4</v>
      </c>
      <c r="E15" s="7">
        <f t="shared" si="4"/>
        <v>5</v>
      </c>
      <c r="F15" s="7">
        <f t="shared" si="5"/>
        <v>7</v>
      </c>
      <c r="G15" s="7">
        <f t="shared" si="6"/>
        <v>8</v>
      </c>
      <c r="H15" s="7">
        <f t="shared" si="7"/>
        <v>9</v>
      </c>
      <c r="I15" s="7">
        <f t="shared" si="8"/>
        <v>10</v>
      </c>
      <c r="J15" s="7">
        <f t="shared" si="9"/>
        <v>12</v>
      </c>
      <c r="K15" s="7">
        <f t="shared" si="10"/>
        <v>13</v>
      </c>
      <c r="L15" s="7">
        <f t="shared" si="11"/>
        <v>14</v>
      </c>
      <c r="M15" s="7">
        <f t="shared" si="12"/>
        <v>16</v>
      </c>
      <c r="N15" s="7">
        <f t="shared" si="13"/>
        <v>17</v>
      </c>
      <c r="O15" s="7">
        <f t="shared" si="14"/>
        <v>18</v>
      </c>
    </row>
    <row r="16" ht="30" customHeight="1" spans="1:15">
      <c r="A16" s="8">
        <v>0.14</v>
      </c>
      <c r="B16" s="7">
        <f t="shared" si="1"/>
        <v>1</v>
      </c>
      <c r="C16" s="7">
        <f t="shared" si="2"/>
        <v>3</v>
      </c>
      <c r="D16" s="7">
        <f t="shared" si="3"/>
        <v>4</v>
      </c>
      <c r="E16" s="7">
        <f t="shared" si="4"/>
        <v>6</v>
      </c>
      <c r="F16" s="7">
        <f t="shared" si="5"/>
        <v>7</v>
      </c>
      <c r="G16" s="7">
        <f t="shared" si="6"/>
        <v>8</v>
      </c>
      <c r="H16" s="7">
        <f t="shared" si="7"/>
        <v>10</v>
      </c>
      <c r="I16" s="7">
        <f t="shared" si="8"/>
        <v>11</v>
      </c>
      <c r="J16" s="7">
        <f t="shared" si="9"/>
        <v>13</v>
      </c>
      <c r="K16" s="7">
        <f t="shared" si="10"/>
        <v>14</v>
      </c>
      <c r="L16" s="7">
        <f t="shared" si="11"/>
        <v>15</v>
      </c>
      <c r="M16" s="7">
        <f t="shared" si="12"/>
        <v>17</v>
      </c>
      <c r="N16" s="7">
        <f t="shared" si="13"/>
        <v>18</v>
      </c>
      <c r="O16" s="7">
        <f t="shared" si="14"/>
        <v>20</v>
      </c>
    </row>
    <row r="17" ht="30" customHeight="1" spans="1:15">
      <c r="A17" s="6">
        <v>0.15</v>
      </c>
      <c r="B17" s="7">
        <f t="shared" si="1"/>
        <v>2</v>
      </c>
      <c r="C17" s="7">
        <f t="shared" si="2"/>
        <v>3</v>
      </c>
      <c r="D17" s="7">
        <f t="shared" si="3"/>
        <v>5</v>
      </c>
      <c r="E17" s="7">
        <f t="shared" si="4"/>
        <v>6</v>
      </c>
      <c r="F17" s="7">
        <f t="shared" si="5"/>
        <v>8</v>
      </c>
      <c r="G17" s="7">
        <f t="shared" si="6"/>
        <v>9</v>
      </c>
      <c r="H17" s="7">
        <f t="shared" si="7"/>
        <v>11</v>
      </c>
      <c r="I17" s="7">
        <f t="shared" si="8"/>
        <v>12</v>
      </c>
      <c r="J17" s="7">
        <f t="shared" si="9"/>
        <v>14</v>
      </c>
      <c r="K17" s="7">
        <f t="shared" si="10"/>
        <v>15</v>
      </c>
      <c r="L17" s="7">
        <f t="shared" si="11"/>
        <v>17</v>
      </c>
      <c r="M17" s="7">
        <f t="shared" si="12"/>
        <v>18</v>
      </c>
      <c r="N17" s="7">
        <f t="shared" si="13"/>
        <v>20</v>
      </c>
      <c r="O17" s="7">
        <f t="shared" si="14"/>
        <v>21</v>
      </c>
    </row>
    <row r="18" ht="30" customHeight="1" spans="1:15">
      <c r="A18" s="8">
        <v>0.16</v>
      </c>
      <c r="B18" s="7">
        <f t="shared" si="1"/>
        <v>2</v>
      </c>
      <c r="C18" s="7">
        <f t="shared" si="2"/>
        <v>3</v>
      </c>
      <c r="D18" s="7">
        <f t="shared" si="3"/>
        <v>5</v>
      </c>
      <c r="E18" s="7">
        <f t="shared" si="4"/>
        <v>6</v>
      </c>
      <c r="F18" s="7">
        <f t="shared" si="5"/>
        <v>8</v>
      </c>
      <c r="G18" s="7">
        <f t="shared" si="6"/>
        <v>10</v>
      </c>
      <c r="H18" s="7">
        <f t="shared" si="7"/>
        <v>11</v>
      </c>
      <c r="I18" s="7">
        <f t="shared" si="8"/>
        <v>13</v>
      </c>
      <c r="J18" s="7">
        <f t="shared" si="9"/>
        <v>14</v>
      </c>
      <c r="K18" s="7">
        <f t="shared" si="10"/>
        <v>16</v>
      </c>
      <c r="L18" s="7">
        <f t="shared" si="11"/>
        <v>18</v>
      </c>
      <c r="M18" s="7">
        <f t="shared" si="12"/>
        <v>19</v>
      </c>
      <c r="N18" s="7">
        <f t="shared" si="13"/>
        <v>21</v>
      </c>
      <c r="O18" s="7">
        <f t="shared" si="14"/>
        <v>22</v>
      </c>
    </row>
    <row r="19" ht="30" customHeight="1" spans="1:15">
      <c r="A19" s="6">
        <v>0.17</v>
      </c>
      <c r="B19" s="7">
        <f t="shared" si="1"/>
        <v>2</v>
      </c>
      <c r="C19" s="7">
        <f t="shared" si="2"/>
        <v>3</v>
      </c>
      <c r="D19" s="7">
        <f t="shared" si="3"/>
        <v>5</v>
      </c>
      <c r="E19" s="7">
        <f t="shared" si="4"/>
        <v>7</v>
      </c>
      <c r="F19" s="7">
        <f t="shared" si="5"/>
        <v>9</v>
      </c>
      <c r="G19" s="7">
        <f t="shared" si="6"/>
        <v>10</v>
      </c>
      <c r="H19" s="7">
        <f t="shared" si="7"/>
        <v>12</v>
      </c>
      <c r="I19" s="7">
        <f t="shared" si="8"/>
        <v>14</v>
      </c>
      <c r="J19" s="7">
        <f t="shared" si="9"/>
        <v>15</v>
      </c>
      <c r="K19" s="7">
        <f t="shared" si="10"/>
        <v>17</v>
      </c>
      <c r="L19" s="7">
        <f t="shared" si="11"/>
        <v>19</v>
      </c>
      <c r="M19" s="7">
        <f t="shared" si="12"/>
        <v>20</v>
      </c>
      <c r="N19" s="7">
        <f t="shared" si="13"/>
        <v>22</v>
      </c>
      <c r="O19" s="7">
        <f t="shared" si="14"/>
        <v>24</v>
      </c>
    </row>
    <row r="20" ht="30" customHeight="1" spans="1:15">
      <c r="A20" s="8">
        <v>0.18</v>
      </c>
      <c r="B20" s="7">
        <f t="shared" si="1"/>
        <v>2</v>
      </c>
      <c r="C20" s="7">
        <f t="shared" si="2"/>
        <v>4</v>
      </c>
      <c r="D20" s="7">
        <f t="shared" si="3"/>
        <v>5</v>
      </c>
      <c r="E20" s="7">
        <f t="shared" si="4"/>
        <v>7</v>
      </c>
      <c r="F20" s="7">
        <f t="shared" si="5"/>
        <v>9</v>
      </c>
      <c r="G20" s="7">
        <f t="shared" si="6"/>
        <v>11</v>
      </c>
      <c r="H20" s="7">
        <f t="shared" si="7"/>
        <v>13</v>
      </c>
      <c r="I20" s="7">
        <f t="shared" si="8"/>
        <v>14</v>
      </c>
      <c r="J20" s="7">
        <f t="shared" si="9"/>
        <v>16</v>
      </c>
      <c r="K20" s="7">
        <f t="shared" si="10"/>
        <v>18</v>
      </c>
      <c r="L20" s="7">
        <f t="shared" si="11"/>
        <v>20</v>
      </c>
      <c r="M20" s="7">
        <f t="shared" si="12"/>
        <v>22</v>
      </c>
      <c r="N20" s="7">
        <f t="shared" si="13"/>
        <v>23</v>
      </c>
      <c r="O20" s="7">
        <f t="shared" si="14"/>
        <v>25</v>
      </c>
    </row>
    <row r="21" ht="30" customHeight="1" spans="1:15">
      <c r="A21" s="6">
        <v>0.19</v>
      </c>
      <c r="B21" s="7">
        <f t="shared" si="1"/>
        <v>2</v>
      </c>
      <c r="C21" s="7">
        <f t="shared" si="2"/>
        <v>4</v>
      </c>
      <c r="D21" s="7">
        <f t="shared" si="3"/>
        <v>6</v>
      </c>
      <c r="E21" s="7">
        <f t="shared" si="4"/>
        <v>8</v>
      </c>
      <c r="F21" s="7">
        <f t="shared" si="5"/>
        <v>10</v>
      </c>
      <c r="G21" s="7">
        <f t="shared" si="6"/>
        <v>11</v>
      </c>
      <c r="H21" s="7">
        <f t="shared" si="7"/>
        <v>13</v>
      </c>
      <c r="I21" s="7">
        <f t="shared" si="8"/>
        <v>15</v>
      </c>
      <c r="J21" s="7">
        <f t="shared" si="9"/>
        <v>17</v>
      </c>
      <c r="K21" s="7">
        <f t="shared" si="10"/>
        <v>19</v>
      </c>
      <c r="L21" s="7">
        <f t="shared" si="11"/>
        <v>21</v>
      </c>
      <c r="M21" s="7">
        <f t="shared" si="12"/>
        <v>23</v>
      </c>
      <c r="N21" s="7">
        <f t="shared" si="13"/>
        <v>25</v>
      </c>
      <c r="O21" s="7">
        <f t="shared" si="14"/>
        <v>27</v>
      </c>
    </row>
    <row r="22" ht="30" customHeight="1" spans="1:15">
      <c r="A22" s="8">
        <v>0.2</v>
      </c>
      <c r="B22" s="7">
        <f t="shared" si="1"/>
        <v>2</v>
      </c>
      <c r="C22" s="7">
        <f t="shared" si="2"/>
        <v>4</v>
      </c>
      <c r="D22" s="7">
        <f t="shared" si="3"/>
        <v>6</v>
      </c>
      <c r="E22" s="7">
        <f t="shared" si="4"/>
        <v>8</v>
      </c>
      <c r="F22" s="7">
        <f t="shared" si="5"/>
        <v>10</v>
      </c>
      <c r="G22" s="7">
        <f t="shared" si="6"/>
        <v>12</v>
      </c>
      <c r="H22" s="7">
        <f t="shared" si="7"/>
        <v>14</v>
      </c>
      <c r="I22" s="7">
        <f t="shared" si="8"/>
        <v>16</v>
      </c>
      <c r="J22" s="7">
        <f t="shared" si="9"/>
        <v>18</v>
      </c>
      <c r="K22" s="7">
        <f t="shared" si="10"/>
        <v>20</v>
      </c>
      <c r="L22" s="7">
        <f t="shared" si="11"/>
        <v>22</v>
      </c>
      <c r="M22" s="7">
        <f t="shared" si="12"/>
        <v>24</v>
      </c>
      <c r="N22" s="7">
        <f t="shared" si="13"/>
        <v>26</v>
      </c>
      <c r="O22" s="7">
        <f t="shared" si="14"/>
        <v>28</v>
      </c>
    </row>
    <row r="23" ht="30" customHeight="1" spans="1:15">
      <c r="A23" s="6">
        <v>0.21</v>
      </c>
      <c r="B23" s="7">
        <f t="shared" si="1"/>
        <v>2</v>
      </c>
      <c r="C23" s="7">
        <f t="shared" si="2"/>
        <v>4</v>
      </c>
      <c r="D23" s="7">
        <f t="shared" si="3"/>
        <v>6</v>
      </c>
      <c r="E23" s="7">
        <f t="shared" si="4"/>
        <v>8</v>
      </c>
      <c r="F23" s="7">
        <f t="shared" si="5"/>
        <v>11</v>
      </c>
      <c r="G23" s="7">
        <f t="shared" si="6"/>
        <v>13</v>
      </c>
      <c r="H23" s="7">
        <f t="shared" si="7"/>
        <v>15</v>
      </c>
      <c r="I23" s="7">
        <f t="shared" si="8"/>
        <v>17</v>
      </c>
      <c r="J23" s="7">
        <f t="shared" si="9"/>
        <v>19</v>
      </c>
      <c r="K23" s="7">
        <f t="shared" si="10"/>
        <v>21</v>
      </c>
      <c r="L23" s="7">
        <f t="shared" si="11"/>
        <v>23</v>
      </c>
      <c r="M23" s="7">
        <f t="shared" si="12"/>
        <v>25</v>
      </c>
      <c r="N23" s="7">
        <f t="shared" si="13"/>
        <v>27</v>
      </c>
      <c r="O23" s="7">
        <f t="shared" si="14"/>
        <v>29</v>
      </c>
    </row>
    <row r="24" ht="30" customHeight="1" spans="1:15">
      <c r="A24" s="8">
        <v>0.22</v>
      </c>
      <c r="B24" s="7">
        <f t="shared" si="1"/>
        <v>2</v>
      </c>
      <c r="C24" s="7">
        <f t="shared" si="2"/>
        <v>4</v>
      </c>
      <c r="D24" s="7">
        <f t="shared" si="3"/>
        <v>7</v>
      </c>
      <c r="E24" s="7">
        <f t="shared" si="4"/>
        <v>9</v>
      </c>
      <c r="F24" s="7">
        <f t="shared" si="5"/>
        <v>11</v>
      </c>
      <c r="G24" s="7">
        <f t="shared" si="6"/>
        <v>13</v>
      </c>
      <c r="H24" s="7">
        <f t="shared" si="7"/>
        <v>15</v>
      </c>
      <c r="I24" s="7">
        <f t="shared" si="8"/>
        <v>18</v>
      </c>
      <c r="J24" s="7">
        <f t="shared" si="9"/>
        <v>20</v>
      </c>
      <c r="K24" s="7">
        <f t="shared" si="10"/>
        <v>22</v>
      </c>
      <c r="L24" s="7">
        <f t="shared" si="11"/>
        <v>24</v>
      </c>
      <c r="M24" s="7">
        <f t="shared" si="12"/>
        <v>26</v>
      </c>
      <c r="N24" s="7">
        <f t="shared" si="13"/>
        <v>29</v>
      </c>
      <c r="O24" s="7">
        <f t="shared" si="14"/>
        <v>31</v>
      </c>
    </row>
    <row r="25" ht="30" customHeight="1" spans="1:15">
      <c r="A25" s="6">
        <v>0.23</v>
      </c>
      <c r="B25" s="7">
        <f t="shared" si="1"/>
        <v>2</v>
      </c>
      <c r="C25" s="7">
        <f t="shared" si="2"/>
        <v>5</v>
      </c>
      <c r="D25" s="7">
        <f t="shared" si="3"/>
        <v>7</v>
      </c>
      <c r="E25" s="7">
        <f t="shared" si="4"/>
        <v>9</v>
      </c>
      <c r="F25" s="7">
        <f t="shared" si="5"/>
        <v>12</v>
      </c>
      <c r="G25" s="7">
        <f t="shared" si="6"/>
        <v>14</v>
      </c>
      <c r="H25" s="7">
        <f t="shared" si="7"/>
        <v>16</v>
      </c>
      <c r="I25" s="7">
        <f t="shared" si="8"/>
        <v>18</v>
      </c>
      <c r="J25" s="7">
        <f t="shared" si="9"/>
        <v>21</v>
      </c>
      <c r="K25" s="7">
        <f t="shared" si="10"/>
        <v>23</v>
      </c>
      <c r="L25" s="7">
        <f t="shared" si="11"/>
        <v>25</v>
      </c>
      <c r="M25" s="7">
        <f t="shared" si="12"/>
        <v>28</v>
      </c>
      <c r="N25" s="7">
        <f t="shared" si="13"/>
        <v>30</v>
      </c>
      <c r="O25" s="7">
        <f t="shared" si="14"/>
        <v>32</v>
      </c>
    </row>
    <row r="26" ht="30" customHeight="1" spans="1:15">
      <c r="A26" s="8">
        <v>0.24</v>
      </c>
      <c r="B26" s="7">
        <f t="shared" si="1"/>
        <v>2</v>
      </c>
      <c r="C26" s="7">
        <f t="shared" si="2"/>
        <v>5</v>
      </c>
      <c r="D26" s="7">
        <f t="shared" si="3"/>
        <v>7</v>
      </c>
      <c r="E26" s="7">
        <f t="shared" si="4"/>
        <v>10</v>
      </c>
      <c r="F26" s="7">
        <f t="shared" si="5"/>
        <v>12</v>
      </c>
      <c r="G26" s="7">
        <f t="shared" si="6"/>
        <v>14</v>
      </c>
      <c r="H26" s="7">
        <f t="shared" si="7"/>
        <v>17</v>
      </c>
      <c r="I26" s="7">
        <f t="shared" si="8"/>
        <v>19</v>
      </c>
      <c r="J26" s="7">
        <f t="shared" si="9"/>
        <v>22</v>
      </c>
      <c r="K26" s="7">
        <f t="shared" si="10"/>
        <v>24</v>
      </c>
      <c r="L26" s="7">
        <f t="shared" si="11"/>
        <v>26</v>
      </c>
      <c r="M26" s="7">
        <f t="shared" si="12"/>
        <v>29</v>
      </c>
      <c r="N26" s="7">
        <f t="shared" si="13"/>
        <v>31</v>
      </c>
      <c r="O26" s="7">
        <f t="shared" si="14"/>
        <v>34</v>
      </c>
    </row>
    <row r="27" ht="30" customHeight="1" spans="1:15">
      <c r="A27" s="6">
        <v>0.25</v>
      </c>
      <c r="B27" s="7">
        <f t="shared" si="1"/>
        <v>3</v>
      </c>
      <c r="C27" s="7">
        <f t="shared" si="2"/>
        <v>5</v>
      </c>
      <c r="D27" s="7">
        <f t="shared" si="3"/>
        <v>8</v>
      </c>
      <c r="E27" s="7">
        <f t="shared" si="4"/>
        <v>10</v>
      </c>
      <c r="F27" s="7">
        <f t="shared" si="5"/>
        <v>13</v>
      </c>
      <c r="G27" s="7">
        <f t="shared" si="6"/>
        <v>15</v>
      </c>
      <c r="H27" s="7">
        <f t="shared" si="7"/>
        <v>18</v>
      </c>
      <c r="I27" s="7">
        <f t="shared" si="8"/>
        <v>20</v>
      </c>
      <c r="J27" s="7">
        <f t="shared" si="9"/>
        <v>23</v>
      </c>
      <c r="K27" s="7">
        <f t="shared" si="10"/>
        <v>25</v>
      </c>
      <c r="L27" s="7">
        <f t="shared" si="11"/>
        <v>28</v>
      </c>
      <c r="M27" s="7">
        <f t="shared" si="12"/>
        <v>30</v>
      </c>
      <c r="N27" s="7">
        <f t="shared" si="13"/>
        <v>33</v>
      </c>
      <c r="O27" s="7">
        <f t="shared" si="14"/>
        <v>35</v>
      </c>
    </row>
    <row r="28" ht="30" customHeight="1" spans="1:15">
      <c r="A28" s="8">
        <v>0.26</v>
      </c>
      <c r="B28" s="7">
        <f t="shared" si="1"/>
        <v>3</v>
      </c>
      <c r="C28" s="7">
        <f t="shared" si="2"/>
        <v>5</v>
      </c>
      <c r="D28" s="7">
        <f t="shared" si="3"/>
        <v>8</v>
      </c>
      <c r="E28" s="7">
        <f t="shared" si="4"/>
        <v>10</v>
      </c>
      <c r="F28" s="7">
        <f t="shared" si="5"/>
        <v>13</v>
      </c>
      <c r="G28" s="7">
        <f t="shared" si="6"/>
        <v>16</v>
      </c>
      <c r="H28" s="7">
        <f t="shared" si="7"/>
        <v>18</v>
      </c>
      <c r="I28" s="7">
        <f t="shared" si="8"/>
        <v>21</v>
      </c>
      <c r="J28" s="7">
        <f t="shared" si="9"/>
        <v>23</v>
      </c>
      <c r="K28" s="7">
        <f t="shared" si="10"/>
        <v>26</v>
      </c>
      <c r="L28" s="7">
        <f t="shared" si="11"/>
        <v>29</v>
      </c>
      <c r="M28" s="7">
        <f t="shared" si="12"/>
        <v>31</v>
      </c>
      <c r="N28" s="7">
        <f t="shared" si="13"/>
        <v>34</v>
      </c>
      <c r="O28" s="7">
        <f t="shared" si="14"/>
        <v>36</v>
      </c>
    </row>
    <row r="29" ht="30" customHeight="1" spans="1:15">
      <c r="A29" s="6">
        <v>0.27</v>
      </c>
      <c r="B29" s="7">
        <f t="shared" si="1"/>
        <v>3</v>
      </c>
      <c r="C29" s="7">
        <f t="shared" si="2"/>
        <v>5</v>
      </c>
      <c r="D29" s="7">
        <f t="shared" si="3"/>
        <v>8</v>
      </c>
      <c r="E29" s="7">
        <f t="shared" si="4"/>
        <v>11</v>
      </c>
      <c r="F29" s="7">
        <f t="shared" si="5"/>
        <v>14</v>
      </c>
      <c r="G29" s="7">
        <f t="shared" si="6"/>
        <v>16</v>
      </c>
      <c r="H29" s="7">
        <f t="shared" si="7"/>
        <v>19</v>
      </c>
      <c r="I29" s="7">
        <f t="shared" si="8"/>
        <v>22</v>
      </c>
      <c r="J29" s="7">
        <f t="shared" si="9"/>
        <v>24</v>
      </c>
      <c r="K29" s="7">
        <f t="shared" si="10"/>
        <v>27</v>
      </c>
      <c r="L29" s="7">
        <f t="shared" si="11"/>
        <v>30</v>
      </c>
      <c r="M29" s="7">
        <f t="shared" si="12"/>
        <v>32</v>
      </c>
      <c r="N29" s="7">
        <f t="shared" si="13"/>
        <v>35</v>
      </c>
      <c r="O29" s="7">
        <f t="shared" si="14"/>
        <v>38</v>
      </c>
    </row>
    <row r="30" ht="30" customHeight="1" spans="1:15">
      <c r="A30" s="8">
        <v>0.28</v>
      </c>
      <c r="B30" s="7">
        <f t="shared" si="1"/>
        <v>3</v>
      </c>
      <c r="C30" s="7">
        <f t="shared" si="2"/>
        <v>6</v>
      </c>
      <c r="D30" s="7">
        <f t="shared" si="3"/>
        <v>8</v>
      </c>
      <c r="E30" s="7">
        <f t="shared" si="4"/>
        <v>11</v>
      </c>
      <c r="F30" s="7">
        <f t="shared" si="5"/>
        <v>14</v>
      </c>
      <c r="G30" s="7">
        <f t="shared" si="6"/>
        <v>17</v>
      </c>
      <c r="H30" s="7">
        <f t="shared" si="7"/>
        <v>20</v>
      </c>
      <c r="I30" s="7">
        <f t="shared" si="8"/>
        <v>22</v>
      </c>
      <c r="J30" s="7">
        <f t="shared" si="9"/>
        <v>25</v>
      </c>
      <c r="K30" s="7">
        <f t="shared" si="10"/>
        <v>28</v>
      </c>
      <c r="L30" s="7">
        <f t="shared" si="11"/>
        <v>31</v>
      </c>
      <c r="M30" s="7">
        <f t="shared" si="12"/>
        <v>34</v>
      </c>
      <c r="N30" s="7">
        <f t="shared" si="13"/>
        <v>36</v>
      </c>
      <c r="O30" s="7">
        <f t="shared" si="14"/>
        <v>39</v>
      </c>
    </row>
    <row r="31" ht="30" customHeight="1" spans="1:15">
      <c r="A31" s="6">
        <v>0.29</v>
      </c>
      <c r="B31" s="7">
        <f t="shared" si="1"/>
        <v>3</v>
      </c>
      <c r="C31" s="7">
        <f t="shared" si="2"/>
        <v>6</v>
      </c>
      <c r="D31" s="7">
        <f t="shared" si="3"/>
        <v>9</v>
      </c>
      <c r="E31" s="7">
        <f t="shared" si="4"/>
        <v>12</v>
      </c>
      <c r="F31" s="7">
        <f t="shared" si="5"/>
        <v>15</v>
      </c>
      <c r="G31" s="7">
        <f t="shared" si="6"/>
        <v>17</v>
      </c>
      <c r="H31" s="7">
        <f t="shared" si="7"/>
        <v>20</v>
      </c>
      <c r="I31" s="7">
        <f t="shared" si="8"/>
        <v>23</v>
      </c>
      <c r="J31" s="7">
        <f t="shared" si="9"/>
        <v>26</v>
      </c>
      <c r="K31" s="7">
        <f t="shared" si="10"/>
        <v>29</v>
      </c>
      <c r="L31" s="7">
        <f t="shared" si="11"/>
        <v>32</v>
      </c>
      <c r="M31" s="7">
        <f t="shared" si="12"/>
        <v>35</v>
      </c>
      <c r="N31" s="7">
        <f t="shared" si="13"/>
        <v>38</v>
      </c>
      <c r="O31" s="7">
        <f t="shared" si="14"/>
        <v>41</v>
      </c>
    </row>
    <row r="32" ht="30" customHeight="1" spans="1:15">
      <c r="A32" s="8">
        <v>0.3</v>
      </c>
      <c r="B32" s="7">
        <f t="shared" si="1"/>
        <v>3</v>
      </c>
      <c r="C32" s="7">
        <f t="shared" si="2"/>
        <v>6</v>
      </c>
      <c r="D32" s="7">
        <f t="shared" si="3"/>
        <v>9</v>
      </c>
      <c r="E32" s="7">
        <f t="shared" si="4"/>
        <v>12</v>
      </c>
      <c r="F32" s="7">
        <f t="shared" si="5"/>
        <v>15</v>
      </c>
      <c r="G32" s="7">
        <f t="shared" si="6"/>
        <v>18</v>
      </c>
      <c r="H32" s="7">
        <f t="shared" si="7"/>
        <v>21</v>
      </c>
      <c r="I32" s="7">
        <f t="shared" si="8"/>
        <v>24</v>
      </c>
      <c r="J32" s="7">
        <f t="shared" si="9"/>
        <v>27</v>
      </c>
      <c r="K32" s="7">
        <f t="shared" si="10"/>
        <v>30</v>
      </c>
      <c r="L32" s="7">
        <f t="shared" si="11"/>
        <v>33</v>
      </c>
      <c r="M32" s="7">
        <f t="shared" si="12"/>
        <v>36</v>
      </c>
      <c r="N32" s="7">
        <f t="shared" si="13"/>
        <v>39</v>
      </c>
      <c r="O32" s="7">
        <f t="shared" si="14"/>
        <v>42</v>
      </c>
    </row>
  </sheetData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Q1:Q2"/>
    <mergeCell ref="R1:R2"/>
    <mergeCell ref="S1:S2"/>
  </mergeCells>
  <pageMargins left="0.7" right="0.7" top="0.75" bottom="0.75" header="0.3" footer="0.3"/>
  <pageSetup paperSize="9" orientation="portrait"/>
  <headerFooter/>
  <ignoredErrors>
    <ignoredError sqref="R3:R4 R6:R7 Q7 Q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损伤表</vt:lpstr>
      <vt:lpstr>命中表 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</cp:lastModifiedBy>
  <dcterms:created xsi:type="dcterms:W3CDTF">2023-05-12T11:15:00Z</dcterms:created>
  <dcterms:modified xsi:type="dcterms:W3CDTF">2026-05-23T04:35:55Z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C5A6B3AE1D8A4BE9BABC1F2959369D19_12</vt:lpwstr>
  </property>
</Properties>
</file>