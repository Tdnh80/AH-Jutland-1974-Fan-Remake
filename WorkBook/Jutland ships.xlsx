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Hull" sheetId="1" r:id="rId1"/>
    <sheet name="Armor" sheetId="2" r:id="rId2"/>
    <sheet name="Turr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<sst xmlns="http://schemas.openxmlformats.org/spreadsheetml/2006/main" count="452" uniqueCount="181">
  <si>
    <t>年份</t>
  </si>
  <si>
    <t>国家</t>
  </si>
  <si>
    <t>级别</t>
  </si>
  <si>
    <t>Class</t>
  </si>
  <si>
    <t>满载排水量</t>
  </si>
  <si>
    <t>设计排水量</t>
  </si>
  <si>
    <t>设计航速</t>
  </si>
  <si>
    <t>试航航速</t>
  </si>
  <si>
    <t>满载HP</t>
  </si>
  <si>
    <t>设计HP</t>
  </si>
  <si>
    <t>差值</t>
  </si>
  <si>
    <t>均值</t>
  </si>
  <si>
    <t>英国</t>
  </si>
  <si>
    <t>无畏</t>
  </si>
  <si>
    <t>Dreadnought</t>
  </si>
  <si>
    <t>珀勒洛丰</t>
  </si>
  <si>
    <t>Bellerophon</t>
  </si>
  <si>
    <t>圣文森特</t>
  </si>
  <si>
    <t>St. Vincent</t>
  </si>
  <si>
    <t>海王星</t>
  </si>
  <si>
    <t>Neptune</t>
  </si>
  <si>
    <t>?</t>
  </si>
  <si>
    <t>巨像</t>
  </si>
  <si>
    <t>Colossus</t>
  </si>
  <si>
    <t>猎户座</t>
  </si>
  <si>
    <t>Orion</t>
  </si>
  <si>
    <t>乔治五世</t>
  </si>
  <si>
    <t>King George V</t>
  </si>
  <si>
    <t>铁公爵</t>
  </si>
  <si>
    <t>Iron Duke</t>
  </si>
  <si>
    <t>爱尔兰</t>
  </si>
  <si>
    <t>Erin</t>
  </si>
  <si>
    <t>加拿大</t>
  </si>
  <si>
    <t>Canada</t>
  </si>
  <si>
    <t>阿金库尔</t>
  </si>
  <si>
    <t>Agincourt</t>
  </si>
  <si>
    <t>复仇</t>
  </si>
  <si>
    <t>Revenge</t>
  </si>
  <si>
    <t>23(?)</t>
  </si>
  <si>
    <t>伊丽莎白女王</t>
  </si>
  <si>
    <t>Queen Elizabeth</t>
  </si>
  <si>
    <t>23(25)</t>
  </si>
  <si>
    <t>25(?)</t>
  </si>
  <si>
    <t>无敌</t>
  </si>
  <si>
    <t>Invincible</t>
  </si>
  <si>
    <t>不倦</t>
  </si>
  <si>
    <t>Indefatigable</t>
  </si>
  <si>
    <t>狮</t>
  </si>
  <si>
    <t>Lion</t>
  </si>
  <si>
    <t>虎</t>
  </si>
  <si>
    <t>Tiger</t>
  </si>
  <si>
    <t>德国</t>
  </si>
  <si>
    <t>拿骚</t>
  </si>
  <si>
    <t>Nassau</t>
  </si>
  <si>
    <t>赫尔戈兰</t>
  </si>
  <si>
    <t>Helgoland</t>
  </si>
  <si>
    <t>凯撒</t>
  </si>
  <si>
    <t>Kaiser</t>
  </si>
  <si>
    <t>国王</t>
  </si>
  <si>
    <t>König</t>
  </si>
  <si>
    <t>拜仁</t>
  </si>
  <si>
    <t>Bayern</t>
  </si>
  <si>
    <t>冯·德·坦恩</t>
  </si>
  <si>
    <t>Von Der Tann</t>
  </si>
  <si>
    <t>毛奇</t>
  </si>
  <si>
    <t>Moltke</t>
  </si>
  <si>
    <t>赛德利茨</t>
  </si>
  <si>
    <t>Seydlitz</t>
  </si>
  <si>
    <t>德弗林格尔</t>
  </si>
  <si>
    <t>Derfflinger</t>
  </si>
  <si>
    <t>德意志</t>
  </si>
  <si>
    <t>Deutschland</t>
  </si>
  <si>
    <t>吨位/165.385</t>
  </si>
  <si>
    <t>德：《Die deutschen Kriegsschiffe 1815-1945》</t>
  </si>
  <si>
    <t>弹重lb/165.385 = 28cm for 4DMG</t>
  </si>
  <si>
    <t>英战巡：John Robert《Battlecrusier》</t>
  </si>
  <si>
    <t>英战列：R A Burt《British Battleships of WW1》</t>
  </si>
  <si>
    <t>Derfflinger29kn：https://www.bilibili.com/opus/1073001113983123475</t>
  </si>
  <si>
    <t>https://www.bilibili.com/read/cv34684600</t>
  </si>
  <si>
    <t>https://tieba.baidu.com/p/10710367839</t>
  </si>
  <si>
    <t>https://www.warship1.cn/forum.php?mod=viewthread&amp;tid=7352</t>
  </si>
  <si>
    <t>SideM</t>
  </si>
  <si>
    <t>Avg</t>
  </si>
  <si>
    <t>R</t>
  </si>
  <si>
    <t>Add</t>
  </si>
  <si>
    <t>SideUP</t>
  </si>
  <si>
    <t>result</t>
  </si>
  <si>
    <t>Upper</t>
  </si>
  <si>
    <t>Casemate</t>
  </si>
  <si>
    <t>纵向舱壁</t>
  </si>
  <si>
    <t>final</t>
  </si>
  <si>
    <t>Deck Armor</t>
  </si>
  <si>
    <t>add</t>
  </si>
  <si>
    <t>0-10</t>
  </si>
  <si>
    <t>10-20</t>
  </si>
  <si>
    <t>20-30</t>
  </si>
  <si>
    <t>30-40</t>
  </si>
  <si>
    <t>炮塔</t>
  </si>
  <si>
    <t>炮座</t>
  </si>
  <si>
    <t>炮座侧舷</t>
  </si>
  <si>
    <t>2.75s</t>
  </si>
  <si>
    <t>8m 11M</t>
  </si>
  <si>
    <t>1.75s</t>
  </si>
  <si>
    <t>9m 10M</t>
  </si>
  <si>
    <t>1.5+1.75</t>
  </si>
  <si>
    <t>7m 11M</t>
  </si>
  <si>
    <t>&amp;</t>
  </si>
  <si>
    <t>1.5+1</t>
  </si>
  <si>
    <t>7m 10M</t>
  </si>
  <si>
    <t>1.75+1</t>
  </si>
  <si>
    <t>1.5+1.5</t>
  </si>
  <si>
    <t>6*</t>
  </si>
  <si>
    <t>1+1.5</t>
  </si>
  <si>
    <t>8m12</t>
  </si>
  <si>
    <t>1.25+2</t>
  </si>
  <si>
    <t>11m13</t>
  </si>
  <si>
    <t>2s</t>
  </si>
  <si>
    <t>4*</t>
  </si>
  <si>
    <t>1.5/1+1</t>
  </si>
  <si>
    <t>澳、新西兰</t>
  </si>
  <si>
    <t>5*</t>
  </si>
  <si>
    <t>6-5*</t>
  </si>
  <si>
    <t>1+1</t>
  </si>
  <si>
    <t>8m9M</t>
  </si>
  <si>
    <t>25+38</t>
  </si>
  <si>
    <t>58s</t>
  </si>
  <si>
    <t>45+40</t>
  </si>
  <si>
    <t>60s</t>
  </si>
  <si>
    <t>250m300</t>
  </si>
  <si>
    <t>270m300</t>
  </si>
  <si>
    <t>30+30</t>
  </si>
  <si>
    <t>30+40</t>
  </si>
  <si>
    <t>250m350</t>
  </si>
  <si>
    <t>P</t>
  </si>
  <si>
    <t>25+25</t>
  </si>
  <si>
    <t>50s</t>
  </si>
  <si>
    <t>180m230</t>
  </si>
  <si>
    <t>35+50</t>
  </si>
  <si>
    <t>200m250</t>
  </si>
  <si>
    <t>50+30</t>
  </si>
  <si>
    <t>220m270</t>
  </si>
  <si>
    <t>%</t>
  </si>
  <si>
    <t>0.75</t>
  </si>
  <si>
    <t>0.5</t>
  </si>
  <si>
    <t>0.36</t>
  </si>
  <si>
    <t>0.27</t>
  </si>
  <si>
    <t>*</t>
  </si>
  <si>
    <t>1,8</t>
  </si>
  <si>
    <t>1.5,6</t>
  </si>
  <si>
    <t>2,4</t>
  </si>
  <si>
    <t>2.5,2</t>
  </si>
  <si>
    <t>John Robert《Battlecrusier》</t>
  </si>
  <si>
    <t>单位：in,mm</t>
  </si>
  <si>
    <t>https://www.warship1.cn/thread-7433-1-1.html</t>
  </si>
  <si>
    <t>R=1</t>
  </si>
  <si>
    <t>SideM：水线最厚 LowerDeck to MiddleDeck</t>
  </si>
  <si>
    <t>https://www.warship1.cn/thread-7435-1-1.html</t>
  </si>
  <si>
    <t>SideUP：主装上段 MiddleDeck to MainDeck</t>
  </si>
  <si>
    <t>Upper: MainDeck to UpperDeck</t>
  </si>
  <si>
    <t>https://tieba.baidu.com/p/10346601001</t>
  </si>
  <si>
    <t>Casemate：UpperDeck to ForecastleDeck</t>
  </si>
  <si>
    <t>https://tieba.baidu.com/p/9289591876</t>
  </si>
  <si>
    <t>https://tieba.baidu.com/p/8989921235</t>
  </si>
  <si>
    <t>m：最薄 M：最厚</t>
  </si>
  <si>
    <t>https://www.warship1.cn/forum.php?mod=viewthread&amp;tid=8542</t>
  </si>
  <si>
    <t>GB BC:LowerDeck to MainDeck</t>
  </si>
  <si>
    <t>https://www.bilibili.com/opus/1024120129801158724</t>
  </si>
  <si>
    <t>for GB：1 in = 40lb = 24.9mm</t>
  </si>
  <si>
    <t>*：艏艉炮塔段减薄</t>
  </si>
  <si>
    <t>&amp;：主装渐变后平均</t>
  </si>
  <si>
    <t>P：部分-炮廓覆盖</t>
  </si>
  <si>
    <t>s：防护甲板倾斜段</t>
  </si>
  <si>
    <t>不倦：艏艉4in 澳大利亚新西兰：艏艉5in</t>
  </si>
  <si>
    <t>不倦：单层1.5in 澳大利亚新西兰：双层1+1in</t>
  </si>
  <si>
    <t>狮LD2MD：艏艉部分6in，大部分5in</t>
  </si>
  <si>
    <t>APQXY</t>
  </si>
  <si>
    <t>ABQXY</t>
  </si>
  <si>
    <t>ABXY</t>
  </si>
  <si>
    <t>APQY</t>
  </si>
  <si>
    <t>ABQX</t>
  </si>
  <si>
    <t>顺时针ABCD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</si>
</sst>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  <numFmt numFmtId="177" formatCode="0.00_ "/>
    <numFmt numFmtId="178" formatCode="0.0_ "/>
    <numFmt numFmtId="179" formatCode="0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B0F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3" fillId="0" borderId="0" xfId="6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177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179" fontId="1" fillId="2" borderId="1" xfId="0" applyNumberFormat="1" applyFont="1" applyFill="1" applyBorder="1" applyAlignment="1">
      <alignment horizontal="right" vertical="center"/>
    </xf>
    <xf numFmtId="179" fontId="1" fillId="2" borderId="2" xfId="0" applyNumberFormat="1" applyFont="1" applyFill="1" applyBorder="1" applyAlignment="1">
      <alignment horizontal="right" vertical="center"/>
    </xf>
    <xf numFmtId="179" fontId="1" fillId="0" borderId="0" xfId="0" applyNumberFormat="1" applyFont="1" applyFill="1" applyBorder="1" applyAlignment="1">
      <alignment horizontal="right" vertical="center"/>
    </xf>
    <xf numFmtId="179" fontId="1" fillId="2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178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rship1.cn/forum.php?mod=viewthread&amp;tid=7352" TargetMode="External"/><Relationship Id="rId2" Type="http://schemas.openxmlformats.org/officeDocument/2006/relationships/hyperlink" Target="https://tieba.baidu.com/p/10710367839" TargetMode="External"/><Relationship Id="rId1" Type="http://schemas.openxmlformats.org/officeDocument/2006/relationships/hyperlink" Target="https://www.bilibili.com/read/cv3468460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libili.com/opus/1024120129801158724" TargetMode="External"/><Relationship Id="rId7" Type="http://schemas.openxmlformats.org/officeDocument/2006/relationships/hyperlink" Target="https://www.warship1.cn/forum.php?mod=viewthread&amp;tid=8542" TargetMode="External"/><Relationship Id="rId6" Type="http://schemas.openxmlformats.org/officeDocument/2006/relationships/hyperlink" Target="https://tieba.baidu.com/p/9289591876" TargetMode="External"/><Relationship Id="rId5" Type="http://schemas.openxmlformats.org/officeDocument/2006/relationships/hyperlink" Target="https://tieba.baidu.com/p/8989921235" TargetMode="External"/><Relationship Id="rId4" Type="http://schemas.openxmlformats.org/officeDocument/2006/relationships/hyperlink" Target="https://tieba.baidu.com/p/10346601001" TargetMode="External"/><Relationship Id="rId3" Type="http://schemas.openxmlformats.org/officeDocument/2006/relationships/hyperlink" Target="https://tieba.baidu.com/p/10710367839" TargetMode="External"/><Relationship Id="rId2" Type="http://schemas.openxmlformats.org/officeDocument/2006/relationships/hyperlink" Target="https://www.warship1.cn/thread-7435-1-1.html" TargetMode="External"/><Relationship Id="rId1" Type="http://schemas.openxmlformats.org/officeDocument/2006/relationships/hyperlink" Target="https://www.warship1.cn/thread-7433-1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tabSelected="1" workbookViewId="0">
      <selection activeCell="T20" sqref="T20"/>
    </sheetView>
  </sheetViews>
  <sheetFormatPr defaultColWidth="9" defaultRowHeight="14.25"/>
  <cols>
    <col min="1" max="2" width="5.375" style="1" customWidth="1"/>
    <col min="3" max="3" width="13.75" style="1" customWidth="1"/>
    <col min="4" max="4" width="17.125" style="1" customWidth="1"/>
    <col min="5" max="6" width="9" style="1"/>
    <col min="7" max="8" width="11.5" style="1" customWidth="1"/>
    <col min="9" max="10" width="9.375" style="1" customWidth="1"/>
    <col min="11" max="16384" width="9" style="1"/>
  </cols>
  <sheetData>
    <row r="1" spans="1:15">
      <c r="A1" s="2" t="s">
        <v>0</v>
      </c>
      <c r="B1" s="2" t="s">
        <v>1</v>
      </c>
      <c r="C1" s="2" t="s">
        <v>2</v>
      </c>
      <c r="D1" s="1" t="s">
        <v>3</v>
      </c>
      <c r="E1" s="1"/>
      <c r="G1" s="5" t="s">
        <v>4</v>
      </c>
      <c r="H1" s="5" t="s">
        <v>5</v>
      </c>
      <c r="I1" s="5" t="s">
        <v>6</v>
      </c>
      <c r="J1" s="5" t="s">
        <v>7</v>
      </c>
      <c r="K1" s="5"/>
      <c r="L1" s="5" t="s">
        <v>8</v>
      </c>
      <c r="M1" s="5" t="s">
        <v>9</v>
      </c>
      <c r="N1" s="5" t="s">
        <v>10</v>
      </c>
      <c r="O1" s="5" t="s">
        <v>11</v>
      </c>
    </row>
    <row r="2" spans="1:16">
      <c r="A2" s="2">
        <v>1916</v>
      </c>
      <c r="B2" s="2" t="s">
        <v>12</v>
      </c>
      <c r="C2" s="2" t="s">
        <v>13</v>
      </c>
      <c r="D2" s="1" t="s">
        <v>14</v>
      </c>
      <c r="G2" s="5">
        <v>20730</v>
      </c>
      <c r="H2" s="5">
        <v>18120</v>
      </c>
      <c r="I2" s="5">
        <v>21</v>
      </c>
      <c r="J2" s="5">
        <v>21</v>
      </c>
      <c r="K2" s="5"/>
      <c r="L2" s="5">
        <f>ROUND(G2/165.385,0)</f>
        <v>125</v>
      </c>
      <c r="M2" s="5">
        <f>ROUND(H2/165.385,0)</f>
        <v>110</v>
      </c>
      <c r="N2" s="5">
        <f>L2-M2</f>
        <v>15</v>
      </c>
      <c r="O2" s="5">
        <f>ROUND(AVERAGE(L2:M2),0)</f>
        <v>118</v>
      </c>
      <c r="P2" s="1">
        <v>120</v>
      </c>
    </row>
    <row r="3" spans="1:16">
      <c r="A3" s="2">
        <v>1916</v>
      </c>
      <c r="B3" s="2" t="s">
        <v>12</v>
      </c>
      <c r="C3" s="2" t="s">
        <v>15</v>
      </c>
      <c r="D3" s="1" t="s">
        <v>16</v>
      </c>
      <c r="G3" s="5">
        <v>22540</v>
      </c>
      <c r="H3" s="5">
        <v>18596</v>
      </c>
      <c r="I3" s="5">
        <v>21</v>
      </c>
      <c r="J3" s="5">
        <v>21.5</v>
      </c>
      <c r="K3" s="5"/>
      <c r="L3" s="5">
        <f t="shared" ref="L3:L30" si="0">ROUND(G3/165.385,0)</f>
        <v>136</v>
      </c>
      <c r="M3" s="5">
        <f t="shared" ref="M3:M30" si="1">ROUND(H3/165.385,0)</f>
        <v>112</v>
      </c>
      <c r="N3" s="5">
        <f t="shared" ref="N3:N30" si="2">L3-M3</f>
        <v>24</v>
      </c>
      <c r="O3" s="5">
        <f t="shared" ref="O3:O30" si="3">ROUND(AVERAGE(L3:M3),0)</f>
        <v>124</v>
      </c>
      <c r="P3" s="1">
        <v>125</v>
      </c>
    </row>
    <row r="4" spans="1:16">
      <c r="A4" s="2">
        <v>1916</v>
      </c>
      <c r="B4" s="2" t="s">
        <v>12</v>
      </c>
      <c r="C4" s="2" t="s">
        <v>17</v>
      </c>
      <c r="D4" s="1" t="s">
        <v>18</v>
      </c>
      <c r="G4" s="5">
        <v>22800</v>
      </c>
      <c r="H4" s="5">
        <v>19700</v>
      </c>
      <c r="I4" s="5">
        <v>21</v>
      </c>
      <c r="J4" s="5">
        <v>21.5</v>
      </c>
      <c r="K4" s="5"/>
      <c r="L4" s="5">
        <f t="shared" si="0"/>
        <v>138</v>
      </c>
      <c r="M4" s="5">
        <f t="shared" si="1"/>
        <v>119</v>
      </c>
      <c r="N4" s="5">
        <f t="shared" si="2"/>
        <v>19</v>
      </c>
      <c r="O4" s="5">
        <f t="shared" si="3"/>
        <v>129</v>
      </c>
      <c r="P4" s="1">
        <v>130</v>
      </c>
    </row>
    <row r="5" spans="1:16">
      <c r="A5" s="2">
        <v>1916</v>
      </c>
      <c r="B5" s="2" t="s">
        <v>12</v>
      </c>
      <c r="C5" s="2" t="s">
        <v>19</v>
      </c>
      <c r="D5" s="1" t="s">
        <v>20</v>
      </c>
      <c r="G5" s="5">
        <v>23123</v>
      </c>
      <c r="H5" s="5">
        <v>19680</v>
      </c>
      <c r="I5" s="5">
        <v>21</v>
      </c>
      <c r="J5" s="5" t="s">
        <v>21</v>
      </c>
      <c r="K5" s="5"/>
      <c r="L5" s="5">
        <f t="shared" si="0"/>
        <v>140</v>
      </c>
      <c r="M5" s="5">
        <f t="shared" si="1"/>
        <v>119</v>
      </c>
      <c r="N5" s="5">
        <f t="shared" si="2"/>
        <v>21</v>
      </c>
      <c r="O5" s="5">
        <f t="shared" si="3"/>
        <v>130</v>
      </c>
      <c r="P5" s="1">
        <v>130</v>
      </c>
    </row>
    <row r="6" spans="1:16">
      <c r="A6" s="2">
        <v>1916</v>
      </c>
      <c r="B6" s="2" t="s">
        <v>12</v>
      </c>
      <c r="C6" s="2" t="s">
        <v>22</v>
      </c>
      <c r="D6" s="1" t="s">
        <v>23</v>
      </c>
      <c r="G6" s="5">
        <v>23266</v>
      </c>
      <c r="H6" s="5">
        <v>20030</v>
      </c>
      <c r="I6" s="5" t="s">
        <v>21</v>
      </c>
      <c r="J6" s="5">
        <v>21.5</v>
      </c>
      <c r="K6" s="5"/>
      <c r="L6" s="5">
        <f t="shared" si="0"/>
        <v>141</v>
      </c>
      <c r="M6" s="5">
        <f t="shared" si="1"/>
        <v>121</v>
      </c>
      <c r="N6" s="5">
        <f t="shared" si="2"/>
        <v>20</v>
      </c>
      <c r="O6" s="5">
        <f t="shared" si="3"/>
        <v>131</v>
      </c>
      <c r="P6" s="1">
        <v>130</v>
      </c>
    </row>
    <row r="7" spans="1:16">
      <c r="A7" s="2">
        <v>1916</v>
      </c>
      <c r="B7" s="2" t="s">
        <v>12</v>
      </c>
      <c r="C7" s="2" t="s">
        <v>24</v>
      </c>
      <c r="D7" s="1" t="s">
        <v>25</v>
      </c>
      <c r="G7" s="5">
        <v>25596</v>
      </c>
      <c r="H7" s="5">
        <v>21922</v>
      </c>
      <c r="I7" s="5">
        <v>21</v>
      </c>
      <c r="J7" s="5">
        <v>21</v>
      </c>
      <c r="K7" s="5"/>
      <c r="L7" s="5">
        <f t="shared" si="0"/>
        <v>155</v>
      </c>
      <c r="M7" s="5">
        <f t="shared" si="1"/>
        <v>133</v>
      </c>
      <c r="N7" s="5">
        <f t="shared" si="2"/>
        <v>22</v>
      </c>
      <c r="O7" s="5">
        <f t="shared" si="3"/>
        <v>144</v>
      </c>
      <c r="P7" s="1">
        <v>145</v>
      </c>
    </row>
    <row r="8" spans="1:16">
      <c r="A8" s="2">
        <v>1916</v>
      </c>
      <c r="B8" s="2" t="s">
        <v>12</v>
      </c>
      <c r="C8" s="2" t="s">
        <v>26</v>
      </c>
      <c r="D8" s="1" t="s">
        <v>27</v>
      </c>
      <c r="G8" s="5">
        <v>27120</v>
      </c>
      <c r="H8" s="5">
        <v>25420</v>
      </c>
      <c r="I8" s="5">
        <v>21</v>
      </c>
      <c r="J8" s="5">
        <v>22</v>
      </c>
      <c r="K8" s="5"/>
      <c r="L8" s="5">
        <f t="shared" si="0"/>
        <v>164</v>
      </c>
      <c r="M8" s="5">
        <f t="shared" si="1"/>
        <v>154</v>
      </c>
      <c r="N8" s="5">
        <f t="shared" si="2"/>
        <v>10</v>
      </c>
      <c r="O8" s="5">
        <f t="shared" si="3"/>
        <v>159</v>
      </c>
      <c r="P8" s="1">
        <v>160</v>
      </c>
    </row>
    <row r="9" spans="1:16">
      <c r="A9" s="2">
        <v>1916</v>
      </c>
      <c r="B9" s="2" t="s">
        <v>12</v>
      </c>
      <c r="C9" s="2" t="s">
        <v>28</v>
      </c>
      <c r="D9" s="1" t="s">
        <v>29</v>
      </c>
      <c r="G9" s="5">
        <v>31400</v>
      </c>
      <c r="H9" s="5">
        <v>26100</v>
      </c>
      <c r="I9" s="5">
        <v>21</v>
      </c>
      <c r="J9" s="5">
        <v>21.5</v>
      </c>
      <c r="K9" s="5"/>
      <c r="L9" s="5">
        <f t="shared" si="0"/>
        <v>190</v>
      </c>
      <c r="M9" s="5">
        <f t="shared" si="1"/>
        <v>158</v>
      </c>
      <c r="N9" s="5">
        <f t="shared" si="2"/>
        <v>32</v>
      </c>
      <c r="O9" s="5">
        <f t="shared" si="3"/>
        <v>174</v>
      </c>
      <c r="P9" s="1">
        <v>175</v>
      </c>
    </row>
    <row r="10" spans="1:16">
      <c r="A10" s="2">
        <v>1916</v>
      </c>
      <c r="B10" s="2" t="s">
        <v>12</v>
      </c>
      <c r="C10" s="2" t="s">
        <v>30</v>
      </c>
      <c r="D10" s="1" t="s">
        <v>31</v>
      </c>
      <c r="G10" s="5">
        <v>25250</v>
      </c>
      <c r="H10" s="5">
        <v>22780</v>
      </c>
      <c r="I10" s="5">
        <v>21</v>
      </c>
      <c r="J10" s="5">
        <v>21</v>
      </c>
      <c r="K10" s="5"/>
      <c r="L10" s="5">
        <f t="shared" si="0"/>
        <v>153</v>
      </c>
      <c r="M10" s="5">
        <f t="shared" si="1"/>
        <v>138</v>
      </c>
      <c r="N10" s="5">
        <f t="shared" si="2"/>
        <v>15</v>
      </c>
      <c r="O10" s="5">
        <f t="shared" si="3"/>
        <v>146</v>
      </c>
      <c r="P10" s="1">
        <v>145</v>
      </c>
    </row>
    <row r="11" spans="1:16">
      <c r="A11" s="2">
        <v>1916</v>
      </c>
      <c r="B11" s="2" t="s">
        <v>12</v>
      </c>
      <c r="C11" s="2" t="s">
        <v>32</v>
      </c>
      <c r="D11" s="1" t="s">
        <v>33</v>
      </c>
      <c r="G11" s="5">
        <v>32188</v>
      </c>
      <c r="H11" s="5">
        <v>28622</v>
      </c>
      <c r="I11" s="5">
        <v>21</v>
      </c>
      <c r="J11" s="5">
        <v>24</v>
      </c>
      <c r="K11" s="5"/>
      <c r="L11" s="5">
        <f t="shared" si="0"/>
        <v>195</v>
      </c>
      <c r="M11" s="5">
        <f t="shared" si="1"/>
        <v>173</v>
      </c>
      <c r="N11" s="5">
        <f t="shared" si="2"/>
        <v>22</v>
      </c>
      <c r="O11" s="5">
        <f t="shared" si="3"/>
        <v>184</v>
      </c>
      <c r="P11" s="1">
        <v>185</v>
      </c>
    </row>
    <row r="12" spans="1:16">
      <c r="A12" s="2">
        <v>1916</v>
      </c>
      <c r="B12" s="2" t="s">
        <v>12</v>
      </c>
      <c r="C12" s="2" t="s">
        <v>34</v>
      </c>
      <c r="D12" s="1" t="s">
        <v>35</v>
      </c>
      <c r="G12" s="5">
        <v>30860</v>
      </c>
      <c r="H12" s="5">
        <v>27850</v>
      </c>
      <c r="I12" s="5">
        <v>22</v>
      </c>
      <c r="J12" s="5">
        <v>22</v>
      </c>
      <c r="K12" s="5"/>
      <c r="L12" s="5">
        <f t="shared" si="0"/>
        <v>187</v>
      </c>
      <c r="M12" s="5">
        <f t="shared" si="1"/>
        <v>168</v>
      </c>
      <c r="N12" s="5">
        <f t="shared" si="2"/>
        <v>19</v>
      </c>
      <c r="O12" s="5">
        <f t="shared" si="3"/>
        <v>178</v>
      </c>
      <c r="P12" s="1">
        <v>180</v>
      </c>
    </row>
    <row r="13" spans="1:16">
      <c r="A13" s="2">
        <v>1916</v>
      </c>
      <c r="B13" s="2" t="s">
        <v>12</v>
      </c>
      <c r="C13" s="2" t="s">
        <v>36</v>
      </c>
      <c r="D13" s="1" t="s">
        <v>37</v>
      </c>
      <c r="G13" s="5">
        <v>32820</v>
      </c>
      <c r="H13" s="5">
        <v>29590</v>
      </c>
      <c r="I13" s="5" t="s">
        <v>38</v>
      </c>
      <c r="J13" s="5">
        <v>22</v>
      </c>
      <c r="K13" s="5"/>
      <c r="L13" s="5">
        <f t="shared" si="0"/>
        <v>198</v>
      </c>
      <c r="M13" s="5">
        <f t="shared" si="1"/>
        <v>179</v>
      </c>
      <c r="N13" s="5">
        <f t="shared" si="2"/>
        <v>19</v>
      </c>
      <c r="O13" s="5">
        <f t="shared" si="3"/>
        <v>189</v>
      </c>
      <c r="P13" s="1">
        <v>190</v>
      </c>
    </row>
    <row r="14" spans="1:16">
      <c r="A14" s="2">
        <v>1916</v>
      </c>
      <c r="B14" s="2" t="s">
        <v>12</v>
      </c>
      <c r="C14" s="2" t="s">
        <v>39</v>
      </c>
      <c r="D14" s="1" t="s">
        <v>40</v>
      </c>
      <c r="G14" s="5">
        <v>33260</v>
      </c>
      <c r="H14" s="5">
        <v>32590</v>
      </c>
      <c r="I14" s="5" t="s">
        <v>41</v>
      </c>
      <c r="J14" s="5" t="s">
        <v>42</v>
      </c>
      <c r="K14" s="5"/>
      <c r="L14" s="5">
        <f t="shared" si="0"/>
        <v>201</v>
      </c>
      <c r="M14" s="5">
        <f t="shared" si="1"/>
        <v>197</v>
      </c>
      <c r="N14" s="5">
        <f t="shared" si="2"/>
        <v>4</v>
      </c>
      <c r="O14" s="5">
        <f t="shared" si="3"/>
        <v>199</v>
      </c>
      <c r="P14" s="1">
        <v>200</v>
      </c>
    </row>
    <row r="15" spans="1:16">
      <c r="A15" s="2">
        <v>1916</v>
      </c>
      <c r="B15" s="2" t="s">
        <v>12</v>
      </c>
      <c r="C15" s="2" t="s">
        <v>43</v>
      </c>
      <c r="D15" s="1" t="s">
        <v>44</v>
      </c>
      <c r="G15" s="5">
        <v>20420</v>
      </c>
      <c r="H15" s="5">
        <v>17250</v>
      </c>
      <c r="I15" s="5">
        <v>25</v>
      </c>
      <c r="J15" s="5">
        <v>26</v>
      </c>
      <c r="K15" s="5"/>
      <c r="L15" s="5">
        <f t="shared" si="0"/>
        <v>123</v>
      </c>
      <c r="M15" s="5">
        <f t="shared" si="1"/>
        <v>104</v>
      </c>
      <c r="N15" s="5">
        <f t="shared" si="2"/>
        <v>19</v>
      </c>
      <c r="O15" s="5">
        <f t="shared" si="3"/>
        <v>114</v>
      </c>
      <c r="P15" s="1">
        <v>115</v>
      </c>
    </row>
    <row r="16" spans="1:16">
      <c r="A16" s="2">
        <v>1916</v>
      </c>
      <c r="B16" s="2" t="s">
        <v>12</v>
      </c>
      <c r="C16" s="2" t="s">
        <v>45</v>
      </c>
      <c r="D16" s="1" t="s">
        <v>46</v>
      </c>
      <c r="G16" s="5">
        <v>22430</v>
      </c>
      <c r="H16" s="5">
        <v>18750</v>
      </c>
      <c r="I16" s="5">
        <v>25</v>
      </c>
      <c r="J16" s="5">
        <v>26.5</v>
      </c>
      <c r="K16" s="5"/>
      <c r="L16" s="5">
        <f t="shared" si="0"/>
        <v>136</v>
      </c>
      <c r="M16" s="5">
        <f t="shared" si="1"/>
        <v>113</v>
      </c>
      <c r="N16" s="5">
        <f t="shared" si="2"/>
        <v>23</v>
      </c>
      <c r="O16" s="5">
        <f t="shared" si="3"/>
        <v>125</v>
      </c>
      <c r="P16" s="1">
        <v>125</v>
      </c>
    </row>
    <row r="17" spans="1:16">
      <c r="A17" s="2">
        <v>1916</v>
      </c>
      <c r="B17" s="2" t="s">
        <v>12</v>
      </c>
      <c r="C17" s="2" t="s">
        <v>47</v>
      </c>
      <c r="D17" s="1" t="s">
        <v>48</v>
      </c>
      <c r="G17" s="5">
        <v>31234</v>
      </c>
      <c r="H17" s="5">
        <v>26350</v>
      </c>
      <c r="I17" s="5">
        <v>28</v>
      </c>
      <c r="J17" s="5">
        <v>28</v>
      </c>
      <c r="K17" s="5"/>
      <c r="L17" s="5">
        <f t="shared" si="0"/>
        <v>189</v>
      </c>
      <c r="M17" s="5">
        <f t="shared" si="1"/>
        <v>159</v>
      </c>
      <c r="N17" s="5">
        <f t="shared" si="2"/>
        <v>30</v>
      </c>
      <c r="O17" s="5">
        <f t="shared" si="3"/>
        <v>174</v>
      </c>
      <c r="P17" s="1">
        <v>170</v>
      </c>
    </row>
    <row r="18" spans="1:16">
      <c r="A18" s="2">
        <v>1916</v>
      </c>
      <c r="B18" s="2" t="s">
        <v>12</v>
      </c>
      <c r="C18" s="2" t="s">
        <v>49</v>
      </c>
      <c r="D18" s="1" t="s">
        <v>50</v>
      </c>
      <c r="G18" s="5">
        <v>33470</v>
      </c>
      <c r="H18" s="5">
        <v>28490</v>
      </c>
      <c r="I18" s="5">
        <v>28</v>
      </c>
      <c r="J18" s="5">
        <v>29</v>
      </c>
      <c r="K18" s="5"/>
      <c r="L18" s="5">
        <f t="shared" si="0"/>
        <v>202</v>
      </c>
      <c r="M18" s="5">
        <f t="shared" si="1"/>
        <v>172</v>
      </c>
      <c r="N18" s="5">
        <f t="shared" si="2"/>
        <v>30</v>
      </c>
      <c r="O18" s="5">
        <f t="shared" si="3"/>
        <v>187</v>
      </c>
      <c r="P18" s="1">
        <v>185</v>
      </c>
    </row>
    <row r="19" spans="7:15">
      <c r="G19" s="5"/>
      <c r="H19" s="5"/>
      <c r="I19" s="5"/>
      <c r="J19" s="5"/>
      <c r="K19" s="5"/>
      <c r="L19" s="5"/>
      <c r="M19" s="5"/>
      <c r="N19" s="5"/>
      <c r="O19" s="5"/>
    </row>
    <row r="20" spans="1:15">
      <c r="A20" s="2"/>
      <c r="B20" s="2"/>
      <c r="C20" s="2"/>
      <c r="G20" s="5"/>
      <c r="H20" s="5"/>
      <c r="I20" s="5"/>
      <c r="J20" s="5"/>
      <c r="K20" s="5"/>
      <c r="L20" s="5"/>
      <c r="M20" s="5"/>
      <c r="N20" s="5"/>
      <c r="O20" s="5"/>
    </row>
    <row r="21" spans="1:16">
      <c r="A21" s="2">
        <v>1916</v>
      </c>
      <c r="B21" s="2" t="s">
        <v>51</v>
      </c>
      <c r="C21" s="2" t="s">
        <v>52</v>
      </c>
      <c r="D21" s="1" t="s">
        <v>53</v>
      </c>
      <c r="G21" s="5">
        <v>20535</v>
      </c>
      <c r="H21" s="5">
        <v>18873</v>
      </c>
      <c r="I21" s="5">
        <v>19</v>
      </c>
      <c r="J21" s="5">
        <v>20</v>
      </c>
      <c r="K21" s="5"/>
      <c r="L21" s="5">
        <f t="shared" si="0"/>
        <v>124</v>
      </c>
      <c r="M21" s="5">
        <f t="shared" si="1"/>
        <v>114</v>
      </c>
      <c r="N21" s="5">
        <f t="shared" si="2"/>
        <v>10</v>
      </c>
      <c r="O21" s="5">
        <f t="shared" si="3"/>
        <v>119</v>
      </c>
      <c r="P21" s="1">
        <v>120</v>
      </c>
    </row>
    <row r="22" spans="1:16">
      <c r="A22" s="2">
        <v>1916</v>
      </c>
      <c r="B22" s="2" t="s">
        <v>51</v>
      </c>
      <c r="C22" s="2" t="s">
        <v>54</v>
      </c>
      <c r="D22" s="1" t="s">
        <v>55</v>
      </c>
      <c r="G22" s="5">
        <v>24700</v>
      </c>
      <c r="H22" s="5">
        <v>22808</v>
      </c>
      <c r="I22" s="5">
        <v>20</v>
      </c>
      <c r="J22" s="5">
        <v>21</v>
      </c>
      <c r="K22" s="5"/>
      <c r="L22" s="5">
        <f t="shared" si="0"/>
        <v>149</v>
      </c>
      <c r="M22" s="5">
        <f t="shared" si="1"/>
        <v>138</v>
      </c>
      <c r="N22" s="5">
        <f t="shared" si="2"/>
        <v>11</v>
      </c>
      <c r="O22" s="5">
        <f t="shared" si="3"/>
        <v>144</v>
      </c>
      <c r="P22" s="1">
        <v>145</v>
      </c>
    </row>
    <row r="23" spans="1:16">
      <c r="A23" s="2">
        <v>1916</v>
      </c>
      <c r="B23" s="2" t="s">
        <v>51</v>
      </c>
      <c r="C23" s="2" t="s">
        <v>56</v>
      </c>
      <c r="D23" s="1" t="s">
        <v>57</v>
      </c>
      <c r="G23" s="5">
        <v>27000</v>
      </c>
      <c r="H23" s="5">
        <v>24724</v>
      </c>
      <c r="I23" s="5">
        <v>21</v>
      </c>
      <c r="J23" s="5">
        <v>22</v>
      </c>
      <c r="K23" s="5"/>
      <c r="L23" s="5">
        <f t="shared" si="0"/>
        <v>163</v>
      </c>
      <c r="M23" s="5">
        <f t="shared" si="1"/>
        <v>149</v>
      </c>
      <c r="N23" s="5">
        <f t="shared" si="2"/>
        <v>14</v>
      </c>
      <c r="O23" s="5">
        <f t="shared" si="3"/>
        <v>156</v>
      </c>
      <c r="P23" s="1">
        <v>155</v>
      </c>
    </row>
    <row r="24" spans="1:16">
      <c r="A24" s="2">
        <v>1916</v>
      </c>
      <c r="B24" s="2" t="s">
        <v>51</v>
      </c>
      <c r="C24" s="2" t="s">
        <v>58</v>
      </c>
      <c r="D24" s="1" t="s">
        <v>59</v>
      </c>
      <c r="G24" s="5">
        <v>28600</v>
      </c>
      <c r="H24" s="5">
        <v>25796</v>
      </c>
      <c r="I24" s="5">
        <v>21</v>
      </c>
      <c r="J24" s="5">
        <v>21</v>
      </c>
      <c r="K24" s="5"/>
      <c r="L24" s="5">
        <f t="shared" si="0"/>
        <v>173</v>
      </c>
      <c r="M24" s="5">
        <f t="shared" si="1"/>
        <v>156</v>
      </c>
      <c r="N24" s="5">
        <f t="shared" si="2"/>
        <v>17</v>
      </c>
      <c r="O24" s="5">
        <f t="shared" si="3"/>
        <v>165</v>
      </c>
      <c r="P24" s="1">
        <v>165</v>
      </c>
    </row>
    <row r="25" spans="1:16">
      <c r="A25" s="2">
        <v>1916</v>
      </c>
      <c r="B25" s="2" t="s">
        <v>51</v>
      </c>
      <c r="C25" s="1" t="s">
        <v>60</v>
      </c>
      <c r="D25" s="1" t="s">
        <v>61</v>
      </c>
      <c r="G25" s="5">
        <v>32200</v>
      </c>
      <c r="H25" s="5">
        <v>28530</v>
      </c>
      <c r="I25" s="5">
        <v>22</v>
      </c>
      <c r="J25" s="5">
        <v>22</v>
      </c>
      <c r="K25" s="5"/>
      <c r="L25" s="5">
        <f t="shared" si="0"/>
        <v>195</v>
      </c>
      <c r="M25" s="5">
        <f t="shared" si="1"/>
        <v>173</v>
      </c>
      <c r="N25" s="5">
        <f t="shared" si="2"/>
        <v>22</v>
      </c>
      <c r="O25" s="5">
        <f t="shared" si="3"/>
        <v>184</v>
      </c>
      <c r="P25" s="1">
        <v>185</v>
      </c>
    </row>
    <row r="26" spans="1:16">
      <c r="A26" s="2">
        <v>1916</v>
      </c>
      <c r="B26" s="2" t="s">
        <v>51</v>
      </c>
      <c r="C26" s="1" t="s">
        <v>62</v>
      </c>
      <c r="D26" s="1" t="s">
        <v>63</v>
      </c>
      <c r="G26" s="5">
        <v>21300</v>
      </c>
      <c r="H26" s="5">
        <v>19370</v>
      </c>
      <c r="I26" s="5">
        <v>25</v>
      </c>
      <c r="J26" s="5">
        <v>27.5</v>
      </c>
      <c r="K26" s="5"/>
      <c r="L26" s="5">
        <f t="shared" si="0"/>
        <v>129</v>
      </c>
      <c r="M26" s="5">
        <f t="shared" si="1"/>
        <v>117</v>
      </c>
      <c r="N26" s="5">
        <f t="shared" si="2"/>
        <v>12</v>
      </c>
      <c r="O26" s="5">
        <f t="shared" si="3"/>
        <v>123</v>
      </c>
      <c r="P26" s="1">
        <v>125</v>
      </c>
    </row>
    <row r="27" spans="1:16">
      <c r="A27" s="2">
        <v>1916</v>
      </c>
      <c r="B27" s="2" t="s">
        <v>51</v>
      </c>
      <c r="C27" s="1" t="s">
        <v>64</v>
      </c>
      <c r="D27" s="1" t="s">
        <v>65</v>
      </c>
      <c r="G27" s="5">
        <v>25400</v>
      </c>
      <c r="H27" s="5">
        <v>22979</v>
      </c>
      <c r="I27" s="5">
        <v>25.5</v>
      </c>
      <c r="J27" s="5">
        <v>28</v>
      </c>
      <c r="K27" s="5"/>
      <c r="L27" s="5">
        <f t="shared" si="0"/>
        <v>154</v>
      </c>
      <c r="M27" s="5">
        <f t="shared" si="1"/>
        <v>139</v>
      </c>
      <c r="N27" s="5">
        <f t="shared" si="2"/>
        <v>15</v>
      </c>
      <c r="O27" s="5">
        <f t="shared" si="3"/>
        <v>147</v>
      </c>
      <c r="P27" s="1">
        <v>150</v>
      </c>
    </row>
    <row r="28" spans="1:16">
      <c r="A28" s="2">
        <v>1916</v>
      </c>
      <c r="B28" s="2" t="s">
        <v>51</v>
      </c>
      <c r="C28" s="1" t="s">
        <v>66</v>
      </c>
      <c r="D28" s="1" t="s">
        <v>67</v>
      </c>
      <c r="G28" s="5">
        <v>28550</v>
      </c>
      <c r="H28" s="5">
        <v>24988</v>
      </c>
      <c r="I28" s="5">
        <v>26.5</v>
      </c>
      <c r="J28" s="5">
        <v>28</v>
      </c>
      <c r="K28" s="5"/>
      <c r="L28" s="5">
        <f t="shared" si="0"/>
        <v>173</v>
      </c>
      <c r="M28" s="5">
        <f t="shared" si="1"/>
        <v>151</v>
      </c>
      <c r="N28" s="5">
        <f t="shared" si="2"/>
        <v>22</v>
      </c>
      <c r="O28" s="5">
        <f t="shared" si="3"/>
        <v>162</v>
      </c>
      <c r="P28" s="1">
        <v>165</v>
      </c>
    </row>
    <row r="29" spans="1:16">
      <c r="A29" s="2">
        <v>1916</v>
      </c>
      <c r="B29" s="2" t="s">
        <v>51</v>
      </c>
      <c r="C29" s="1" t="s">
        <v>68</v>
      </c>
      <c r="D29" s="1" t="s">
        <v>69</v>
      </c>
      <c r="G29" s="5">
        <v>31200</v>
      </c>
      <c r="H29" s="5">
        <v>26600</v>
      </c>
      <c r="I29" s="5">
        <v>26.5</v>
      </c>
      <c r="J29" s="5">
        <v>29</v>
      </c>
      <c r="K29" s="5"/>
      <c r="L29" s="5">
        <f t="shared" si="0"/>
        <v>189</v>
      </c>
      <c r="M29" s="5">
        <f t="shared" si="1"/>
        <v>161</v>
      </c>
      <c r="N29" s="5">
        <f t="shared" si="2"/>
        <v>28</v>
      </c>
      <c r="O29" s="5">
        <f t="shared" si="3"/>
        <v>175</v>
      </c>
      <c r="P29" s="1">
        <v>175</v>
      </c>
    </row>
    <row r="30" spans="1:15">
      <c r="A30" s="2">
        <v>1916</v>
      </c>
      <c r="B30" s="2" t="s">
        <v>51</v>
      </c>
      <c r="C30" s="1" t="s">
        <v>70</v>
      </c>
      <c r="D30" s="1" t="s">
        <v>71</v>
      </c>
      <c r="G30" s="5">
        <v>14218</v>
      </c>
      <c r="H30" s="5">
        <v>13191</v>
      </c>
      <c r="I30" s="5">
        <v>18</v>
      </c>
      <c r="J30" s="5">
        <v>18.5</v>
      </c>
      <c r="K30" s="5"/>
      <c r="L30" s="5">
        <f t="shared" si="0"/>
        <v>86</v>
      </c>
      <c r="M30" s="5">
        <f t="shared" si="1"/>
        <v>80</v>
      </c>
      <c r="N30" s="5">
        <f t="shared" si="2"/>
        <v>6</v>
      </c>
      <c r="O30" s="5">
        <f t="shared" si="3"/>
        <v>83</v>
      </c>
    </row>
    <row r="31" spans="12:15">
      <c r="L31" s="3" t="s">
        <v>72</v>
      </c>
      <c r="M31" s="3"/>
      <c r="N31" s="3"/>
      <c r="O31" s="3"/>
    </row>
    <row r="32" spans="1:15">
      <c r="A32" s="3" t="s">
        <v>73</v>
      </c>
      <c r="B32" s="3"/>
      <c r="C32" s="3"/>
      <c r="D32" s="3"/>
      <c r="E32" s="3"/>
      <c r="F32" s="3"/>
      <c r="L32" s="3" t="s">
        <v>74</v>
      </c>
      <c r="M32" s="3"/>
      <c r="N32" s="3"/>
      <c r="O32" s="3"/>
    </row>
    <row r="33" spans="1:6">
      <c r="A33" s="3" t="s">
        <v>75</v>
      </c>
      <c r="B33" s="3"/>
      <c r="C33" s="3"/>
      <c r="D33" s="3"/>
      <c r="E33" s="3"/>
      <c r="F33" s="3"/>
    </row>
    <row r="34" spans="1:6">
      <c r="A34" s="3" t="s">
        <v>76</v>
      </c>
      <c r="B34" s="3"/>
      <c r="C34" s="3"/>
      <c r="D34" s="3"/>
      <c r="E34" s="3"/>
      <c r="F34" s="3"/>
    </row>
    <row r="36" spans="1:10">
      <c r="A36" s="3" t="s">
        <v>77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9" t="s">
        <v>78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8" t="s">
        <v>79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8" t="s">
        <v>80</v>
      </c>
      <c r="B39" s="3"/>
      <c r="C39" s="3"/>
      <c r="D39" s="3"/>
      <c r="E39" s="3"/>
      <c r="F39" s="3"/>
      <c r="G39" s="3"/>
      <c r="H39" s="3"/>
      <c r="I39" s="3"/>
      <c r="J39" s="3"/>
    </row>
  </sheetData>
  <mergeCells count="9">
    <mergeCell ref="L31:O31"/>
    <mergeCell ref="A32:F32"/>
    <mergeCell ref="L32:O32"/>
    <mergeCell ref="A33:F33"/>
    <mergeCell ref="A34:F34"/>
    <mergeCell ref="A36:J36"/>
    <mergeCell ref="A37:J37"/>
    <mergeCell ref="A38:J38"/>
    <mergeCell ref="A39:J39"/>
  </mergeCells>
  <hyperlinks>
    <hyperlink ref="A37" r:id="rId1" display="https://www.bilibili.com/read/cv34684600"/>
    <hyperlink ref="A38" r:id="rId2" display="https://tieba.baidu.com/p/10710367839" tooltip="https://tieba.baidu.com/p/10710367839"/>
    <hyperlink ref="A39" r:id="rId3" display="https://www.warship1.cn/forum.php?mod=viewthread&amp;tid=735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8"/>
  <sheetViews>
    <sheetView topLeftCell="J1" workbookViewId="0">
      <selection activeCell="AG30" sqref="AG30"/>
    </sheetView>
  </sheetViews>
  <sheetFormatPr defaultColWidth="9.00833333333333" defaultRowHeight="14.25"/>
  <cols>
    <col min="1" max="2" width="5.375" style="1" customWidth="1"/>
    <col min="3" max="3" width="13.75" style="1" customWidth="1"/>
    <col min="4" max="4" width="17.125" style="1" customWidth="1"/>
    <col min="5" max="5" width="9.00833333333333" style="1"/>
    <col min="6" max="6" width="6.375" style="1" customWidth="1"/>
    <col min="7" max="7" width="4.375" style="1" customWidth="1"/>
    <col min="8" max="9" width="5.375" style="1" customWidth="1"/>
    <col min="10" max="10" width="7.375" style="1" customWidth="1"/>
    <col min="11" max="12" width="5.375" style="1" customWidth="1"/>
    <col min="13" max="13" width="7.375" style="1" customWidth="1"/>
    <col min="14" max="14" width="6.375" style="1" customWidth="1"/>
    <col min="15" max="15" width="5.375" style="1" customWidth="1"/>
    <col min="16" max="16" width="4.375" style="1" customWidth="1"/>
    <col min="17" max="17" width="7.375" style="1" customWidth="1"/>
    <col min="18" max="18" width="9.375" style="1" customWidth="1"/>
    <col min="19" max="19" width="4.375" style="1" customWidth="1"/>
    <col min="20" max="20" width="9.375" style="1" customWidth="1"/>
    <col min="21" max="21" width="7.375" style="1" customWidth="1"/>
    <col min="22" max="22" width="6.375" style="1" customWidth="1"/>
    <col min="23" max="23" width="11.5" style="1" customWidth="1"/>
    <col min="24" max="24" width="6.375" style="1" customWidth="1"/>
    <col min="25" max="26" width="7.375" style="1" customWidth="1"/>
    <col min="27" max="27" width="5.375" style="1" customWidth="1"/>
    <col min="28" max="29" width="6.375" style="1" customWidth="1"/>
    <col min="30" max="38" width="8.375" style="1" customWidth="1"/>
    <col min="39" max="39" width="9.375" style="1" customWidth="1"/>
    <col min="40" max="40" width="6.375" style="1" customWidth="1"/>
    <col min="41" max="16384" width="9" style="1"/>
  </cols>
  <sheetData>
    <row r="1" spans="1:39">
      <c r="A1" s="2" t="s">
        <v>0</v>
      </c>
      <c r="B1" s="2" t="s">
        <v>1</v>
      </c>
      <c r="C1" s="2" t="s">
        <v>2</v>
      </c>
      <c r="D1" s="1" t="s">
        <v>3</v>
      </c>
      <c r="F1" s="4" t="s">
        <v>81</v>
      </c>
      <c r="G1" s="1" t="s">
        <v>82</v>
      </c>
      <c r="H1" s="1" t="s">
        <v>83</v>
      </c>
      <c r="I1" s="1" t="s">
        <v>84</v>
      </c>
      <c r="J1" s="10" t="s">
        <v>85</v>
      </c>
      <c r="K1" s="1" t="s">
        <v>83</v>
      </c>
      <c r="L1" s="1" t="s">
        <v>84</v>
      </c>
      <c r="M1" s="11" t="s">
        <v>86</v>
      </c>
      <c r="N1" s="10" t="s">
        <v>87</v>
      </c>
      <c r="O1" s="1" t="s">
        <v>83</v>
      </c>
      <c r="P1" s="1" t="s">
        <v>84</v>
      </c>
      <c r="Q1" s="11" t="s">
        <v>86</v>
      </c>
      <c r="R1" s="10" t="s">
        <v>88</v>
      </c>
      <c r="S1" s="1" t="s">
        <v>84</v>
      </c>
      <c r="T1" s="10" t="s">
        <v>89</v>
      </c>
      <c r="U1" s="11" t="s">
        <v>86</v>
      </c>
      <c r="V1" s="11" t="s">
        <v>90</v>
      </c>
      <c r="W1" s="10" t="s">
        <v>91</v>
      </c>
      <c r="X1" s="1" t="s">
        <v>92</v>
      </c>
      <c r="Y1" s="11" t="s">
        <v>86</v>
      </c>
      <c r="Z1" s="11" t="s">
        <v>86</v>
      </c>
      <c r="AA1" s="15" t="s">
        <v>93</v>
      </c>
      <c r="AB1" s="16" t="s">
        <v>94</v>
      </c>
      <c r="AC1" s="16" t="s">
        <v>95</v>
      </c>
      <c r="AD1" s="15" t="s">
        <v>96</v>
      </c>
      <c r="AF1" s="15" t="s">
        <v>93</v>
      </c>
      <c r="AG1" s="16" t="s">
        <v>94</v>
      </c>
      <c r="AH1" s="16" t="s">
        <v>95</v>
      </c>
      <c r="AI1" s="15" t="s">
        <v>96</v>
      </c>
      <c r="AK1" s="1" t="s">
        <v>97</v>
      </c>
      <c r="AL1" s="1" t="s">
        <v>98</v>
      </c>
      <c r="AM1" s="1" t="s">
        <v>99</v>
      </c>
    </row>
    <row r="2" spans="1:39">
      <c r="A2" s="2">
        <v>1916</v>
      </c>
      <c r="B2" s="2" t="s">
        <v>12</v>
      </c>
      <c r="C2" s="2" t="s">
        <v>13</v>
      </c>
      <c r="D2" s="1" t="s">
        <v>14</v>
      </c>
      <c r="F2" s="5">
        <v>11</v>
      </c>
      <c r="G2" s="5"/>
      <c r="H2" s="5"/>
      <c r="I2" s="5"/>
      <c r="J2" s="5">
        <v>8</v>
      </c>
      <c r="K2" s="5"/>
      <c r="L2" s="5"/>
      <c r="M2" s="12">
        <f>F2*0.5+J2*0.5</f>
        <v>9.5</v>
      </c>
      <c r="N2" s="5">
        <v>0</v>
      </c>
      <c r="O2" s="5"/>
      <c r="P2" s="5"/>
      <c r="Q2" s="12">
        <f>N2</f>
        <v>0</v>
      </c>
      <c r="R2" s="5"/>
      <c r="S2" s="5"/>
      <c r="T2" s="5"/>
      <c r="U2" s="13">
        <f>M2+Q2*0.7</f>
        <v>9.5</v>
      </c>
      <c r="V2" s="5"/>
      <c r="W2" s="5">
        <v>1.75</v>
      </c>
      <c r="X2" s="5" t="s">
        <v>100</v>
      </c>
      <c r="Y2" s="5">
        <f>W2*0.5+0.5*2.75</f>
        <v>2.25</v>
      </c>
      <c r="Z2" s="13">
        <f>Y2</f>
        <v>2.25</v>
      </c>
      <c r="AA2" s="17">
        <f>U2*0.75+Z2*6*0.25</f>
        <v>10.5</v>
      </c>
      <c r="AB2" s="17">
        <f>U2*1.5*0.5+Z2*4*0.5</f>
        <v>11.625</v>
      </c>
      <c r="AC2" s="17">
        <f>U2*2*0.36+Z2*2*0.64</f>
        <v>9.72</v>
      </c>
      <c r="AD2" s="17">
        <f>U2*2.5*0.27+Z2*1.5*0.73</f>
        <v>8.87625</v>
      </c>
      <c r="AE2" s="5"/>
      <c r="AF2" s="17">
        <f>AA2*0.5</f>
        <v>5.25</v>
      </c>
      <c r="AG2" s="17">
        <f t="shared" ref="AG2:AG30" si="0">AB2*0.5</f>
        <v>5.8125</v>
      </c>
      <c r="AH2" s="17">
        <f t="shared" ref="AH2:AH30" si="1">AC2*0.5</f>
        <v>4.86</v>
      </c>
      <c r="AI2" s="17">
        <f t="shared" ref="AI2:AI30" si="2">AD2*0.5</f>
        <v>4.438125</v>
      </c>
      <c r="AJ2" s="5"/>
      <c r="AK2" s="5">
        <v>11</v>
      </c>
      <c r="AL2" s="5" t="s">
        <v>101</v>
      </c>
      <c r="AM2" s="5">
        <v>10</v>
      </c>
    </row>
    <row r="3" spans="1:39">
      <c r="A3" s="2">
        <v>1916</v>
      </c>
      <c r="B3" s="2" t="s">
        <v>12</v>
      </c>
      <c r="C3" s="2" t="s">
        <v>15</v>
      </c>
      <c r="D3" s="1" t="s">
        <v>16</v>
      </c>
      <c r="F3" s="5">
        <v>10</v>
      </c>
      <c r="G3" s="5"/>
      <c r="H3" s="5"/>
      <c r="I3" s="5"/>
      <c r="J3" s="5">
        <v>8</v>
      </c>
      <c r="K3" s="5"/>
      <c r="L3" s="5"/>
      <c r="M3" s="12">
        <f>F3*0.5+J3*0.5</f>
        <v>9</v>
      </c>
      <c r="N3" s="5">
        <v>0</v>
      </c>
      <c r="O3" s="5"/>
      <c r="P3" s="5"/>
      <c r="Q3" s="12">
        <f>N3</f>
        <v>0</v>
      </c>
      <c r="R3" s="5"/>
      <c r="S3" s="5"/>
      <c r="T3" s="5"/>
      <c r="U3" s="13">
        <f t="shared" ref="U3:U19" si="3">M3+Q3*0.7</f>
        <v>9</v>
      </c>
      <c r="V3" s="5"/>
      <c r="W3" s="5">
        <v>1.75</v>
      </c>
      <c r="X3" s="5" t="s">
        <v>102</v>
      </c>
      <c r="Y3" s="5">
        <f>W3*0.5+0.5*1.75</f>
        <v>1.75</v>
      </c>
      <c r="Z3" s="13">
        <f t="shared" ref="Z3:Z19" si="4">Y3</f>
        <v>1.75</v>
      </c>
      <c r="AA3" s="17">
        <f t="shared" ref="AA3:AA30" si="5">U3*0.75+Z3*6*0.25</f>
        <v>9.375</v>
      </c>
      <c r="AB3" s="17">
        <f t="shared" ref="AB3:AB30" si="6">U3*1.5*0.5+Z3*4*0.5</f>
        <v>10.25</v>
      </c>
      <c r="AC3" s="17">
        <f t="shared" ref="AC3:AC30" si="7">U3*2*0.36+Z3*2*0.64</f>
        <v>8.72</v>
      </c>
      <c r="AD3" s="17">
        <f t="shared" ref="AD3:AD30" si="8">U3*2.5*0.27+Z3*1.5*0.73</f>
        <v>7.99125</v>
      </c>
      <c r="AE3" s="5"/>
      <c r="AF3" s="17">
        <f t="shared" ref="AF3:AF30" si="9">AA3*0.5</f>
        <v>4.6875</v>
      </c>
      <c r="AG3" s="17">
        <f t="shared" si="0"/>
        <v>5.125</v>
      </c>
      <c r="AH3" s="17">
        <f t="shared" si="1"/>
        <v>4.36</v>
      </c>
      <c r="AI3" s="17">
        <f t="shared" si="2"/>
        <v>3.995625</v>
      </c>
      <c r="AJ3" s="5"/>
      <c r="AK3" s="5">
        <v>11</v>
      </c>
      <c r="AL3" s="5" t="s">
        <v>103</v>
      </c>
      <c r="AM3" s="5">
        <v>9</v>
      </c>
    </row>
    <row r="4" spans="1:39">
      <c r="A4" s="2">
        <v>1916</v>
      </c>
      <c r="B4" s="2" t="s">
        <v>12</v>
      </c>
      <c r="C4" s="2" t="s">
        <v>17</v>
      </c>
      <c r="D4" s="1" t="s">
        <v>18</v>
      </c>
      <c r="F4" s="5">
        <v>10</v>
      </c>
      <c r="G4" s="5"/>
      <c r="H4" s="5"/>
      <c r="I4" s="5"/>
      <c r="J4" s="5">
        <v>8</v>
      </c>
      <c r="K4" s="5"/>
      <c r="L4" s="5"/>
      <c r="M4" s="12">
        <f>F4*0.5+J4*0.5</f>
        <v>9</v>
      </c>
      <c r="N4" s="5">
        <v>0</v>
      </c>
      <c r="O4" s="5"/>
      <c r="P4" s="5"/>
      <c r="Q4" s="12">
        <f>N4</f>
        <v>0</v>
      </c>
      <c r="R4" s="5"/>
      <c r="S4" s="5"/>
      <c r="T4" s="5"/>
      <c r="U4" s="13">
        <f t="shared" si="3"/>
        <v>9</v>
      </c>
      <c r="V4" s="5"/>
      <c r="W4" s="5">
        <v>1.75</v>
      </c>
      <c r="X4" s="5" t="s">
        <v>102</v>
      </c>
      <c r="Y4" s="5">
        <f>W4*0.5+0.5*1.75</f>
        <v>1.75</v>
      </c>
      <c r="Z4" s="13">
        <f t="shared" si="4"/>
        <v>1.75</v>
      </c>
      <c r="AA4" s="17">
        <f t="shared" si="5"/>
        <v>9.375</v>
      </c>
      <c r="AB4" s="17">
        <f t="shared" si="6"/>
        <v>10.25</v>
      </c>
      <c r="AC4" s="17">
        <f t="shared" si="7"/>
        <v>8.72</v>
      </c>
      <c r="AD4" s="17">
        <f t="shared" si="8"/>
        <v>7.99125</v>
      </c>
      <c r="AE4" s="5"/>
      <c r="AF4" s="17">
        <f t="shared" si="9"/>
        <v>4.6875</v>
      </c>
      <c r="AG4" s="17">
        <f t="shared" si="0"/>
        <v>5.125</v>
      </c>
      <c r="AH4" s="17">
        <f t="shared" si="1"/>
        <v>4.36</v>
      </c>
      <c r="AI4" s="17">
        <f t="shared" si="2"/>
        <v>3.995625</v>
      </c>
      <c r="AJ4" s="5"/>
      <c r="AK4" s="5">
        <v>11</v>
      </c>
      <c r="AL4" s="5" t="s">
        <v>103</v>
      </c>
      <c r="AM4" s="5">
        <v>9</v>
      </c>
    </row>
    <row r="5" spans="1:39">
      <c r="A5" s="2">
        <v>1916</v>
      </c>
      <c r="B5" s="2" t="s">
        <v>12</v>
      </c>
      <c r="C5" s="2" t="s">
        <v>19</v>
      </c>
      <c r="D5" s="1" t="s">
        <v>20</v>
      </c>
      <c r="F5" s="5">
        <v>10</v>
      </c>
      <c r="G5" s="5"/>
      <c r="H5" s="5"/>
      <c r="I5" s="5"/>
      <c r="J5" s="5">
        <v>8</v>
      </c>
      <c r="K5" s="5"/>
      <c r="L5" s="5"/>
      <c r="M5" s="12">
        <f>F5*0.5+J5*0.5</f>
        <v>9</v>
      </c>
      <c r="N5" s="5">
        <v>0</v>
      </c>
      <c r="O5" s="5"/>
      <c r="P5" s="5"/>
      <c r="Q5" s="12">
        <f>N5</f>
        <v>0</v>
      </c>
      <c r="R5" s="5"/>
      <c r="S5" s="5"/>
      <c r="T5" s="5"/>
      <c r="U5" s="13">
        <f t="shared" si="3"/>
        <v>9</v>
      </c>
      <c r="V5" s="5"/>
      <c r="W5" s="5" t="s">
        <v>104</v>
      </c>
      <c r="X5" s="5"/>
      <c r="Y5" s="5">
        <f>1.5+1.75</f>
        <v>3.25</v>
      </c>
      <c r="Z5" s="13">
        <f t="shared" si="4"/>
        <v>3.25</v>
      </c>
      <c r="AA5" s="17">
        <f t="shared" si="5"/>
        <v>11.625</v>
      </c>
      <c r="AB5" s="17">
        <f t="shared" si="6"/>
        <v>13.25</v>
      </c>
      <c r="AC5" s="17">
        <f t="shared" si="7"/>
        <v>10.64</v>
      </c>
      <c r="AD5" s="17">
        <f t="shared" si="8"/>
        <v>9.63375</v>
      </c>
      <c r="AE5" s="5"/>
      <c r="AF5" s="17">
        <f t="shared" si="9"/>
        <v>5.8125</v>
      </c>
      <c r="AG5" s="17">
        <f t="shared" si="0"/>
        <v>6.625</v>
      </c>
      <c r="AH5" s="17">
        <f t="shared" si="1"/>
        <v>5.32</v>
      </c>
      <c r="AI5" s="17">
        <f t="shared" si="2"/>
        <v>4.816875</v>
      </c>
      <c r="AJ5" s="5"/>
      <c r="AK5" s="5">
        <v>11</v>
      </c>
      <c r="AL5" s="5" t="s">
        <v>103</v>
      </c>
      <c r="AM5" s="5">
        <v>9</v>
      </c>
    </row>
    <row r="6" spans="1:39">
      <c r="A6" s="2">
        <v>1916</v>
      </c>
      <c r="B6" s="2" t="s">
        <v>12</v>
      </c>
      <c r="C6" s="2" t="s">
        <v>22</v>
      </c>
      <c r="D6" s="1" t="s">
        <v>23</v>
      </c>
      <c r="F6" s="5">
        <v>10</v>
      </c>
      <c r="G6" s="5"/>
      <c r="H6" s="5"/>
      <c r="I6" s="5"/>
      <c r="J6" s="5">
        <v>8</v>
      </c>
      <c r="K6" s="5"/>
      <c r="L6" s="5"/>
      <c r="M6" s="12">
        <f>F6*0.5+J6*0.5</f>
        <v>9</v>
      </c>
      <c r="N6" s="5">
        <v>0</v>
      </c>
      <c r="O6" s="5"/>
      <c r="P6" s="5"/>
      <c r="Q6" s="12">
        <f>N6</f>
        <v>0</v>
      </c>
      <c r="R6" s="5"/>
      <c r="S6" s="5"/>
      <c r="T6" s="5"/>
      <c r="U6" s="13">
        <f t="shared" si="3"/>
        <v>9</v>
      </c>
      <c r="V6" s="5"/>
      <c r="W6" s="5" t="s">
        <v>104</v>
      </c>
      <c r="X6" s="5"/>
      <c r="Y6" s="5">
        <f>1.5+1.75</f>
        <v>3.25</v>
      </c>
      <c r="Z6" s="13">
        <f t="shared" si="4"/>
        <v>3.25</v>
      </c>
      <c r="AA6" s="17">
        <f t="shared" si="5"/>
        <v>11.625</v>
      </c>
      <c r="AB6" s="17">
        <f t="shared" si="6"/>
        <v>13.25</v>
      </c>
      <c r="AC6" s="17">
        <f t="shared" si="7"/>
        <v>10.64</v>
      </c>
      <c r="AD6" s="17">
        <f t="shared" si="8"/>
        <v>9.63375</v>
      </c>
      <c r="AE6" s="5"/>
      <c r="AF6" s="17">
        <f t="shared" si="9"/>
        <v>5.8125</v>
      </c>
      <c r="AG6" s="17">
        <f t="shared" si="0"/>
        <v>6.625</v>
      </c>
      <c r="AH6" s="17">
        <f t="shared" si="1"/>
        <v>5.32</v>
      </c>
      <c r="AI6" s="17">
        <f t="shared" si="2"/>
        <v>4.816875</v>
      </c>
      <c r="AJ6" s="5"/>
      <c r="AK6" s="5">
        <v>11</v>
      </c>
      <c r="AL6" s="5" t="s">
        <v>105</v>
      </c>
      <c r="AM6" s="5">
        <v>10</v>
      </c>
    </row>
    <row r="7" spans="1:39">
      <c r="A7" s="2">
        <v>1916</v>
      </c>
      <c r="B7" s="2" t="s">
        <v>12</v>
      </c>
      <c r="C7" s="2" t="s">
        <v>24</v>
      </c>
      <c r="D7" s="1" t="s">
        <v>25</v>
      </c>
      <c r="F7" s="5">
        <v>12</v>
      </c>
      <c r="G7" s="6">
        <v>11</v>
      </c>
      <c r="H7" s="7">
        <v>0.666666666666667</v>
      </c>
      <c r="I7" s="6" t="s">
        <v>106</v>
      </c>
      <c r="J7" s="6">
        <v>9</v>
      </c>
      <c r="K7" s="7">
        <v>0.333333333333333</v>
      </c>
      <c r="L7" s="5"/>
      <c r="M7" s="12">
        <f>G7*H7+J7*K7</f>
        <v>10.3333333333333</v>
      </c>
      <c r="N7" s="5">
        <v>8</v>
      </c>
      <c r="O7" s="7">
        <v>0.5</v>
      </c>
      <c r="P7" s="5"/>
      <c r="Q7" s="12">
        <f t="shared" ref="Q7:Q14" si="10">N7*O7</f>
        <v>4</v>
      </c>
      <c r="R7" s="5"/>
      <c r="S7" s="5"/>
      <c r="T7" s="5"/>
      <c r="U7" s="13">
        <f t="shared" si="3"/>
        <v>13.1333333333333</v>
      </c>
      <c r="V7" s="5"/>
      <c r="W7" s="5" t="s">
        <v>107</v>
      </c>
      <c r="X7" s="5"/>
      <c r="Y7" s="5">
        <f>1.5+1</f>
        <v>2.5</v>
      </c>
      <c r="Z7" s="13">
        <f t="shared" si="4"/>
        <v>2.5</v>
      </c>
      <c r="AA7" s="17">
        <f t="shared" si="5"/>
        <v>13.6</v>
      </c>
      <c r="AB7" s="17">
        <f t="shared" si="6"/>
        <v>14.85</v>
      </c>
      <c r="AC7" s="17">
        <f t="shared" si="7"/>
        <v>12.656</v>
      </c>
      <c r="AD7" s="17">
        <f t="shared" si="8"/>
        <v>11.6025</v>
      </c>
      <c r="AE7" s="5"/>
      <c r="AF7" s="17">
        <f t="shared" si="9"/>
        <v>6.8</v>
      </c>
      <c r="AG7" s="17">
        <f t="shared" si="0"/>
        <v>7.425</v>
      </c>
      <c r="AH7" s="17">
        <f t="shared" si="1"/>
        <v>6.328</v>
      </c>
      <c r="AI7" s="17">
        <f t="shared" si="2"/>
        <v>5.80125</v>
      </c>
      <c r="AJ7" s="5"/>
      <c r="AK7" s="5">
        <v>11</v>
      </c>
      <c r="AL7" s="5" t="s">
        <v>108</v>
      </c>
      <c r="AM7" s="5">
        <v>10</v>
      </c>
    </row>
    <row r="8" spans="1:39">
      <c r="A8" s="2">
        <v>1916</v>
      </c>
      <c r="B8" s="2" t="s">
        <v>12</v>
      </c>
      <c r="C8" s="2" t="s">
        <v>26</v>
      </c>
      <c r="D8" s="1" t="s">
        <v>27</v>
      </c>
      <c r="F8" s="5">
        <v>12</v>
      </c>
      <c r="G8" s="5">
        <v>11</v>
      </c>
      <c r="H8" s="7">
        <v>0.666666666666667</v>
      </c>
      <c r="I8" s="5" t="s">
        <v>106</v>
      </c>
      <c r="J8" s="5">
        <v>9</v>
      </c>
      <c r="K8" s="7">
        <v>0.333333333333333</v>
      </c>
      <c r="L8" s="5"/>
      <c r="M8" s="12">
        <f>G8*H8+J8*K8</f>
        <v>10.3333333333333</v>
      </c>
      <c r="N8" s="5">
        <v>8</v>
      </c>
      <c r="O8" s="7">
        <v>0.5</v>
      </c>
      <c r="P8" s="5"/>
      <c r="Q8" s="12">
        <f t="shared" si="10"/>
        <v>4</v>
      </c>
      <c r="R8" s="5">
        <v>3</v>
      </c>
      <c r="S8" s="5"/>
      <c r="T8" s="5"/>
      <c r="U8" s="13">
        <f t="shared" si="3"/>
        <v>13.1333333333333</v>
      </c>
      <c r="V8" s="5"/>
      <c r="W8" s="5" t="s">
        <v>107</v>
      </c>
      <c r="X8" s="5"/>
      <c r="Y8" s="5">
        <f>1.5+1</f>
        <v>2.5</v>
      </c>
      <c r="Z8" s="13">
        <f t="shared" si="4"/>
        <v>2.5</v>
      </c>
      <c r="AA8" s="17">
        <f t="shared" si="5"/>
        <v>13.6</v>
      </c>
      <c r="AB8" s="17">
        <f t="shared" si="6"/>
        <v>14.85</v>
      </c>
      <c r="AC8" s="17">
        <f t="shared" si="7"/>
        <v>12.656</v>
      </c>
      <c r="AD8" s="17">
        <f t="shared" si="8"/>
        <v>11.6025</v>
      </c>
      <c r="AE8" s="5"/>
      <c r="AF8" s="17">
        <f t="shared" si="9"/>
        <v>6.8</v>
      </c>
      <c r="AG8" s="17">
        <f t="shared" si="0"/>
        <v>7.425</v>
      </c>
      <c r="AH8" s="17">
        <f t="shared" si="1"/>
        <v>6.328</v>
      </c>
      <c r="AI8" s="17">
        <f t="shared" si="2"/>
        <v>5.80125</v>
      </c>
      <c r="AJ8" s="5"/>
      <c r="AK8" s="5">
        <v>11</v>
      </c>
      <c r="AL8" s="5" t="s">
        <v>108</v>
      </c>
      <c r="AM8" s="5">
        <v>10</v>
      </c>
    </row>
    <row r="9" spans="1:39">
      <c r="A9" s="2">
        <v>1916</v>
      </c>
      <c r="B9" s="2" t="s">
        <v>12</v>
      </c>
      <c r="C9" s="2" t="s">
        <v>28</v>
      </c>
      <c r="D9" s="1" t="s">
        <v>29</v>
      </c>
      <c r="F9" s="5">
        <v>12</v>
      </c>
      <c r="G9" s="5">
        <v>11</v>
      </c>
      <c r="H9" s="7">
        <v>0.666666666666667</v>
      </c>
      <c r="I9" s="5" t="s">
        <v>106</v>
      </c>
      <c r="J9" s="5">
        <v>9</v>
      </c>
      <c r="K9" s="7">
        <v>0.333333333333333</v>
      </c>
      <c r="L9" s="5"/>
      <c r="M9" s="12">
        <f>G9*H9+J9*K9</f>
        <v>10.3333333333333</v>
      </c>
      <c r="N9" s="5">
        <v>8</v>
      </c>
      <c r="O9" s="7">
        <v>0.5</v>
      </c>
      <c r="P9" s="5"/>
      <c r="Q9" s="12">
        <f t="shared" si="10"/>
        <v>4</v>
      </c>
      <c r="R9" s="5">
        <v>6</v>
      </c>
      <c r="S9" s="5"/>
      <c r="T9" s="5"/>
      <c r="U9" s="13">
        <f t="shared" si="3"/>
        <v>13.1333333333333</v>
      </c>
      <c r="V9" s="5"/>
      <c r="W9" s="5" t="s">
        <v>109</v>
      </c>
      <c r="X9" s="5"/>
      <c r="Y9" s="5">
        <f>1.75+1</f>
        <v>2.75</v>
      </c>
      <c r="Z9" s="13">
        <f t="shared" si="4"/>
        <v>2.75</v>
      </c>
      <c r="AA9" s="17">
        <f t="shared" si="5"/>
        <v>13.975</v>
      </c>
      <c r="AB9" s="17">
        <f t="shared" si="6"/>
        <v>15.35</v>
      </c>
      <c r="AC9" s="17">
        <f t="shared" si="7"/>
        <v>12.976</v>
      </c>
      <c r="AD9" s="17">
        <f t="shared" si="8"/>
        <v>11.87625</v>
      </c>
      <c r="AE9" s="5"/>
      <c r="AF9" s="17">
        <f t="shared" si="9"/>
        <v>6.9875</v>
      </c>
      <c r="AG9" s="17">
        <f t="shared" si="0"/>
        <v>7.675</v>
      </c>
      <c r="AH9" s="17">
        <f t="shared" si="1"/>
        <v>6.488</v>
      </c>
      <c r="AI9" s="17">
        <f t="shared" si="2"/>
        <v>5.938125</v>
      </c>
      <c r="AJ9" s="5"/>
      <c r="AK9" s="5">
        <v>11</v>
      </c>
      <c r="AL9" s="5" t="s">
        <v>108</v>
      </c>
      <c r="AM9" s="5">
        <v>10</v>
      </c>
    </row>
    <row r="10" spans="1:39">
      <c r="A10" s="2">
        <v>1916</v>
      </c>
      <c r="B10" s="2" t="s">
        <v>12</v>
      </c>
      <c r="C10" s="2" t="s">
        <v>30</v>
      </c>
      <c r="D10" s="1" t="s">
        <v>31</v>
      </c>
      <c r="F10" s="5">
        <v>12</v>
      </c>
      <c r="G10" s="5">
        <v>11</v>
      </c>
      <c r="H10" s="7">
        <v>0.666666666666667</v>
      </c>
      <c r="I10" s="5" t="s">
        <v>106</v>
      </c>
      <c r="J10" s="5">
        <v>9</v>
      </c>
      <c r="K10" s="7">
        <v>0.333333333333333</v>
      </c>
      <c r="L10" s="5"/>
      <c r="M10" s="12">
        <f>G10*H10+J10*K10</f>
        <v>10.3333333333333</v>
      </c>
      <c r="N10" s="5">
        <v>8</v>
      </c>
      <c r="O10" s="7">
        <v>0.5</v>
      </c>
      <c r="P10" s="5"/>
      <c r="Q10" s="12">
        <f t="shared" si="10"/>
        <v>4</v>
      </c>
      <c r="R10" s="5">
        <v>5</v>
      </c>
      <c r="S10" s="5"/>
      <c r="T10" s="5"/>
      <c r="U10" s="13">
        <f t="shared" si="3"/>
        <v>13.1333333333333</v>
      </c>
      <c r="V10" s="5"/>
      <c r="W10" s="5" t="s">
        <v>110</v>
      </c>
      <c r="X10" s="5"/>
      <c r="Y10" s="5">
        <f>1.5+1.5</f>
        <v>3</v>
      </c>
      <c r="Z10" s="13">
        <f t="shared" si="4"/>
        <v>3</v>
      </c>
      <c r="AA10" s="17">
        <f t="shared" si="5"/>
        <v>14.35</v>
      </c>
      <c r="AB10" s="17">
        <f t="shared" si="6"/>
        <v>15.85</v>
      </c>
      <c r="AC10" s="17">
        <f t="shared" si="7"/>
        <v>13.296</v>
      </c>
      <c r="AD10" s="17">
        <f t="shared" si="8"/>
        <v>12.15</v>
      </c>
      <c r="AE10" s="5"/>
      <c r="AF10" s="17">
        <f t="shared" si="9"/>
        <v>7.175</v>
      </c>
      <c r="AG10" s="17">
        <f t="shared" si="0"/>
        <v>7.925</v>
      </c>
      <c r="AH10" s="17">
        <f t="shared" si="1"/>
        <v>6.648</v>
      </c>
      <c r="AI10" s="17">
        <f t="shared" si="2"/>
        <v>6.075</v>
      </c>
      <c r="AJ10" s="5"/>
      <c r="AK10" s="5">
        <v>11</v>
      </c>
      <c r="AL10" s="5" t="s">
        <v>103</v>
      </c>
      <c r="AM10" s="5">
        <v>9</v>
      </c>
    </row>
    <row r="11" spans="1:39">
      <c r="A11" s="2">
        <v>1916</v>
      </c>
      <c r="B11" s="2" t="s">
        <v>12</v>
      </c>
      <c r="C11" s="2" t="s">
        <v>32</v>
      </c>
      <c r="D11" s="1" t="s">
        <v>33</v>
      </c>
      <c r="F11" s="5">
        <v>9</v>
      </c>
      <c r="G11" s="5"/>
      <c r="H11" s="5"/>
      <c r="I11" s="5"/>
      <c r="J11" s="5">
        <v>7</v>
      </c>
      <c r="K11" s="5"/>
      <c r="L11" s="5"/>
      <c r="M11" s="12">
        <f>F11*0.5+J11*0.5</f>
        <v>8</v>
      </c>
      <c r="N11" s="5">
        <v>4.5</v>
      </c>
      <c r="O11" s="7">
        <v>0.5</v>
      </c>
      <c r="P11" s="5"/>
      <c r="Q11" s="12">
        <f t="shared" si="10"/>
        <v>2.25</v>
      </c>
      <c r="R11" s="5">
        <v>6</v>
      </c>
      <c r="S11" s="5"/>
      <c r="T11" s="5"/>
      <c r="U11" s="13">
        <f t="shared" si="3"/>
        <v>9.575</v>
      </c>
      <c r="V11" s="5"/>
      <c r="W11" s="5" t="s">
        <v>107</v>
      </c>
      <c r="X11" s="5"/>
      <c r="Y11" s="5">
        <f>1.5+1</f>
        <v>2.5</v>
      </c>
      <c r="Z11" s="13">
        <f t="shared" si="4"/>
        <v>2.5</v>
      </c>
      <c r="AA11" s="17">
        <f t="shared" si="5"/>
        <v>10.93125</v>
      </c>
      <c r="AB11" s="17">
        <f t="shared" si="6"/>
        <v>12.18125</v>
      </c>
      <c r="AC11" s="17">
        <f t="shared" si="7"/>
        <v>10.094</v>
      </c>
      <c r="AD11" s="17">
        <f t="shared" si="8"/>
        <v>9.200625</v>
      </c>
      <c r="AE11" s="5"/>
      <c r="AF11" s="17">
        <f t="shared" si="9"/>
        <v>5.465625</v>
      </c>
      <c r="AG11" s="17">
        <f t="shared" si="0"/>
        <v>6.090625</v>
      </c>
      <c r="AH11" s="17">
        <f t="shared" si="1"/>
        <v>5.047</v>
      </c>
      <c r="AI11" s="17">
        <f t="shared" si="2"/>
        <v>4.6003125</v>
      </c>
      <c r="AJ11" s="5"/>
      <c r="AK11" s="5">
        <v>10</v>
      </c>
      <c r="AL11" s="5">
        <v>10</v>
      </c>
      <c r="AM11" s="5">
        <v>10</v>
      </c>
    </row>
    <row r="12" spans="1:39">
      <c r="A12" s="2">
        <v>1916</v>
      </c>
      <c r="B12" s="2" t="s">
        <v>12</v>
      </c>
      <c r="C12" s="2" t="s">
        <v>34</v>
      </c>
      <c r="D12" s="1" t="s">
        <v>35</v>
      </c>
      <c r="F12" s="5">
        <v>9</v>
      </c>
      <c r="G12" s="5"/>
      <c r="H12" s="5"/>
      <c r="I12" s="5" t="s">
        <v>111</v>
      </c>
      <c r="J12" s="5">
        <v>9</v>
      </c>
      <c r="K12" s="5"/>
      <c r="L12" s="5" t="s">
        <v>111</v>
      </c>
      <c r="M12" s="12">
        <f>9*0.7+6*0.3</f>
        <v>8.1</v>
      </c>
      <c r="N12" s="5">
        <v>6</v>
      </c>
      <c r="O12" s="7">
        <v>0.5</v>
      </c>
      <c r="P12" s="5"/>
      <c r="Q12" s="12">
        <f t="shared" si="10"/>
        <v>3</v>
      </c>
      <c r="R12" s="5">
        <v>6</v>
      </c>
      <c r="S12" s="5"/>
      <c r="T12" s="5"/>
      <c r="U12" s="13">
        <f t="shared" si="3"/>
        <v>10.2</v>
      </c>
      <c r="V12" s="5"/>
      <c r="W12" s="5" t="s">
        <v>112</v>
      </c>
      <c r="X12" s="5"/>
      <c r="Y12" s="5">
        <f>1+1.5</f>
        <v>2.5</v>
      </c>
      <c r="Z12" s="13">
        <f t="shared" si="4"/>
        <v>2.5</v>
      </c>
      <c r="AA12" s="17">
        <f t="shared" si="5"/>
        <v>11.4</v>
      </c>
      <c r="AB12" s="17">
        <f t="shared" si="6"/>
        <v>12.65</v>
      </c>
      <c r="AC12" s="17">
        <f t="shared" si="7"/>
        <v>10.544</v>
      </c>
      <c r="AD12" s="17">
        <f t="shared" si="8"/>
        <v>9.6225</v>
      </c>
      <c r="AE12" s="5"/>
      <c r="AF12" s="17">
        <f t="shared" si="9"/>
        <v>5.7</v>
      </c>
      <c r="AG12" s="17">
        <f t="shared" si="0"/>
        <v>6.325</v>
      </c>
      <c r="AH12" s="17">
        <f t="shared" si="1"/>
        <v>5.272</v>
      </c>
      <c r="AI12" s="17">
        <f t="shared" si="2"/>
        <v>4.81125</v>
      </c>
      <c r="AJ12" s="5"/>
      <c r="AK12" s="5" t="s">
        <v>113</v>
      </c>
      <c r="AL12" s="5">
        <v>9</v>
      </c>
      <c r="AM12" s="5">
        <v>9</v>
      </c>
    </row>
    <row r="13" spans="1:39">
      <c r="A13" s="2">
        <v>1916</v>
      </c>
      <c r="B13" s="2" t="s">
        <v>12</v>
      </c>
      <c r="C13" s="2" t="s">
        <v>36</v>
      </c>
      <c r="D13" s="1" t="s">
        <v>37</v>
      </c>
      <c r="F13" s="5">
        <v>13</v>
      </c>
      <c r="G13" s="5"/>
      <c r="H13" s="5"/>
      <c r="I13" s="5"/>
      <c r="J13" s="5">
        <v>13</v>
      </c>
      <c r="K13" s="5"/>
      <c r="L13" s="5"/>
      <c r="M13" s="12">
        <v>13</v>
      </c>
      <c r="N13" s="5">
        <v>6</v>
      </c>
      <c r="O13" s="5">
        <v>0.6</v>
      </c>
      <c r="P13" s="5"/>
      <c r="Q13" s="12">
        <f t="shared" si="10"/>
        <v>3.6</v>
      </c>
      <c r="R13" s="5">
        <v>6</v>
      </c>
      <c r="S13" s="5"/>
      <c r="T13" s="5"/>
      <c r="U13" s="13">
        <f t="shared" si="3"/>
        <v>15.52</v>
      </c>
      <c r="V13" s="5"/>
      <c r="W13" s="5" t="s">
        <v>114</v>
      </c>
      <c r="X13" s="5"/>
      <c r="Y13" s="5">
        <f>1.25+2</f>
        <v>3.25</v>
      </c>
      <c r="Z13" s="13">
        <f t="shared" si="4"/>
        <v>3.25</v>
      </c>
      <c r="AA13" s="17">
        <f t="shared" si="5"/>
        <v>16.515</v>
      </c>
      <c r="AB13" s="17">
        <f t="shared" si="6"/>
        <v>18.14</v>
      </c>
      <c r="AC13" s="17">
        <f t="shared" si="7"/>
        <v>15.3344</v>
      </c>
      <c r="AD13" s="17">
        <f t="shared" si="8"/>
        <v>14.03475</v>
      </c>
      <c r="AE13" s="5"/>
      <c r="AF13" s="17">
        <f t="shared" si="9"/>
        <v>8.2575</v>
      </c>
      <c r="AG13" s="17">
        <f t="shared" si="0"/>
        <v>9.07</v>
      </c>
      <c r="AH13" s="17">
        <f t="shared" si="1"/>
        <v>7.6672</v>
      </c>
      <c r="AI13" s="17">
        <f t="shared" si="2"/>
        <v>7.017375</v>
      </c>
      <c r="AJ13" s="5"/>
      <c r="AK13" s="5" t="s">
        <v>115</v>
      </c>
      <c r="AL13" s="5" t="s">
        <v>108</v>
      </c>
      <c r="AM13" s="5">
        <v>10</v>
      </c>
    </row>
    <row r="14" spans="1:39">
      <c r="A14" s="2">
        <v>1916</v>
      </c>
      <c r="B14" s="2" t="s">
        <v>12</v>
      </c>
      <c r="C14" s="2" t="s">
        <v>39</v>
      </c>
      <c r="D14" s="1" t="s">
        <v>40</v>
      </c>
      <c r="F14" s="5">
        <v>13</v>
      </c>
      <c r="G14" s="5">
        <v>12</v>
      </c>
      <c r="H14" s="7">
        <v>0.666666666666667</v>
      </c>
      <c r="I14" s="5" t="s">
        <v>106</v>
      </c>
      <c r="J14" s="5">
        <v>9.5</v>
      </c>
      <c r="K14" s="7">
        <v>0.333333333333333</v>
      </c>
      <c r="L14" s="5" t="s">
        <v>106</v>
      </c>
      <c r="M14" s="12">
        <f>G14*H14+J14*K14</f>
        <v>11.1666666666667</v>
      </c>
      <c r="N14" s="5">
        <v>6</v>
      </c>
      <c r="O14" s="5">
        <v>0.6</v>
      </c>
      <c r="P14" s="5"/>
      <c r="Q14" s="12">
        <f t="shared" si="10"/>
        <v>3.6</v>
      </c>
      <c r="R14" s="5">
        <v>6</v>
      </c>
      <c r="S14" s="5"/>
      <c r="T14" s="5"/>
      <c r="U14" s="13">
        <f t="shared" si="3"/>
        <v>13.6866666666667</v>
      </c>
      <c r="V14" s="5"/>
      <c r="W14" s="5" t="s">
        <v>107</v>
      </c>
      <c r="X14" s="5"/>
      <c r="Y14" s="5">
        <f>1.5+1</f>
        <v>2.5</v>
      </c>
      <c r="Z14" s="13">
        <f t="shared" si="4"/>
        <v>2.5</v>
      </c>
      <c r="AA14" s="17">
        <f t="shared" si="5"/>
        <v>14.015</v>
      </c>
      <c r="AB14" s="17">
        <f t="shared" si="6"/>
        <v>15.265</v>
      </c>
      <c r="AC14" s="17">
        <f t="shared" si="7"/>
        <v>13.0544</v>
      </c>
      <c r="AD14" s="17">
        <f t="shared" si="8"/>
        <v>11.976</v>
      </c>
      <c r="AE14" s="5"/>
      <c r="AF14" s="17">
        <f t="shared" si="9"/>
        <v>7.0075</v>
      </c>
      <c r="AG14" s="17">
        <f t="shared" si="0"/>
        <v>7.6325</v>
      </c>
      <c r="AH14" s="17">
        <f t="shared" si="1"/>
        <v>6.5272</v>
      </c>
      <c r="AI14" s="17">
        <f t="shared" si="2"/>
        <v>5.988</v>
      </c>
      <c r="AJ14" s="5"/>
      <c r="AK14" s="5" t="s">
        <v>115</v>
      </c>
      <c r="AL14" s="5" t="s">
        <v>108</v>
      </c>
      <c r="AM14" s="5">
        <v>10</v>
      </c>
    </row>
    <row r="15" spans="1:39">
      <c r="A15" s="2">
        <v>1916</v>
      </c>
      <c r="B15" s="2" t="s">
        <v>12</v>
      </c>
      <c r="C15" s="2" t="s">
        <v>43</v>
      </c>
      <c r="D15" s="1" t="s">
        <v>44</v>
      </c>
      <c r="F15" s="5">
        <v>6</v>
      </c>
      <c r="G15" s="5"/>
      <c r="H15" s="5"/>
      <c r="I15" s="5"/>
      <c r="J15" s="5">
        <v>6</v>
      </c>
      <c r="K15" s="5"/>
      <c r="L15" s="5"/>
      <c r="M15" s="12">
        <v>6</v>
      </c>
      <c r="N15" s="5">
        <v>0</v>
      </c>
      <c r="O15" s="5"/>
      <c r="P15" s="5"/>
      <c r="Q15" s="12">
        <f t="shared" ref="Q15:Q17" si="11">N15</f>
        <v>0</v>
      </c>
      <c r="R15" s="5"/>
      <c r="S15" s="5"/>
      <c r="T15" s="5"/>
      <c r="U15" s="13">
        <f t="shared" si="3"/>
        <v>6</v>
      </c>
      <c r="V15" s="5"/>
      <c r="W15" s="5">
        <v>1.5</v>
      </c>
      <c r="X15" s="5" t="s">
        <v>116</v>
      </c>
      <c r="Y15" s="5">
        <f>1.5*0.5+2*0.5</f>
        <v>1.75</v>
      </c>
      <c r="Z15" s="13">
        <f t="shared" si="4"/>
        <v>1.75</v>
      </c>
      <c r="AA15" s="17">
        <f t="shared" si="5"/>
        <v>7.125</v>
      </c>
      <c r="AB15" s="17">
        <f t="shared" si="6"/>
        <v>8</v>
      </c>
      <c r="AC15" s="17">
        <f t="shared" si="7"/>
        <v>6.56</v>
      </c>
      <c r="AD15" s="17">
        <f t="shared" si="8"/>
        <v>5.96625</v>
      </c>
      <c r="AE15" s="5"/>
      <c r="AF15" s="17">
        <f t="shared" si="9"/>
        <v>3.5625</v>
      </c>
      <c r="AG15" s="17">
        <f t="shared" si="0"/>
        <v>4</v>
      </c>
      <c r="AH15" s="17">
        <f t="shared" si="1"/>
        <v>3.28</v>
      </c>
      <c r="AI15" s="17">
        <f t="shared" si="2"/>
        <v>2.983125</v>
      </c>
      <c r="AJ15" s="5"/>
      <c r="AK15" s="5">
        <v>7</v>
      </c>
      <c r="AL15" s="5">
        <v>7</v>
      </c>
      <c r="AM15" s="5">
        <v>7</v>
      </c>
    </row>
    <row r="16" spans="1:39">
      <c r="A16" s="2">
        <v>1916</v>
      </c>
      <c r="B16" s="2" t="s">
        <v>12</v>
      </c>
      <c r="C16" s="2" t="s">
        <v>45</v>
      </c>
      <c r="D16" s="1" t="s">
        <v>46</v>
      </c>
      <c r="F16" s="5">
        <v>6</v>
      </c>
      <c r="G16" s="5"/>
      <c r="H16" s="5"/>
      <c r="I16" s="5" t="s">
        <v>117</v>
      </c>
      <c r="J16" s="5">
        <v>6</v>
      </c>
      <c r="K16" s="5"/>
      <c r="L16" s="5" t="s">
        <v>117</v>
      </c>
      <c r="M16" s="12">
        <v>5</v>
      </c>
      <c r="N16" s="5">
        <v>0</v>
      </c>
      <c r="O16" s="5"/>
      <c r="P16" s="5"/>
      <c r="Q16" s="12">
        <f t="shared" si="11"/>
        <v>0</v>
      </c>
      <c r="R16" s="5"/>
      <c r="S16" s="5"/>
      <c r="T16" s="5"/>
      <c r="U16" s="13">
        <f t="shared" si="3"/>
        <v>5</v>
      </c>
      <c r="V16" s="5"/>
      <c r="W16" s="5" t="s">
        <v>118</v>
      </c>
      <c r="X16" s="5" t="s">
        <v>116</v>
      </c>
      <c r="Y16" s="5">
        <f>(1.5/1+1)*0.5+2*0.5</f>
        <v>2.25</v>
      </c>
      <c r="Z16" s="13">
        <f t="shared" si="4"/>
        <v>2.25</v>
      </c>
      <c r="AA16" s="17">
        <f t="shared" si="5"/>
        <v>7.125</v>
      </c>
      <c r="AB16" s="17">
        <f t="shared" si="6"/>
        <v>8.25</v>
      </c>
      <c r="AC16" s="17">
        <f t="shared" si="7"/>
        <v>6.48</v>
      </c>
      <c r="AD16" s="17">
        <f t="shared" si="8"/>
        <v>5.83875</v>
      </c>
      <c r="AE16" s="5"/>
      <c r="AF16" s="17">
        <f t="shared" si="9"/>
        <v>3.5625</v>
      </c>
      <c r="AG16" s="17">
        <f t="shared" si="0"/>
        <v>4.125</v>
      </c>
      <c r="AH16" s="17">
        <f t="shared" si="1"/>
        <v>3.24</v>
      </c>
      <c r="AI16" s="17">
        <f t="shared" si="2"/>
        <v>2.919375</v>
      </c>
      <c r="AJ16" s="5"/>
      <c r="AK16" s="5">
        <v>7</v>
      </c>
      <c r="AL16" s="5">
        <v>7</v>
      </c>
      <c r="AM16" s="5">
        <v>7</v>
      </c>
    </row>
    <row r="17" spans="1:39">
      <c r="A17" s="2"/>
      <c r="B17" s="2"/>
      <c r="C17" s="2" t="s">
        <v>119</v>
      </c>
      <c r="F17" s="5">
        <v>6</v>
      </c>
      <c r="G17" s="5"/>
      <c r="H17" s="5"/>
      <c r="I17" s="5" t="s">
        <v>120</v>
      </c>
      <c r="J17" s="5">
        <v>6</v>
      </c>
      <c r="K17" s="5"/>
      <c r="L17" s="5" t="s">
        <v>120</v>
      </c>
      <c r="M17" s="12">
        <v>5.5</v>
      </c>
      <c r="N17" s="5">
        <v>0</v>
      </c>
      <c r="O17" s="5"/>
      <c r="P17" s="5"/>
      <c r="Q17" s="12">
        <f t="shared" si="11"/>
        <v>0</v>
      </c>
      <c r="R17" s="5"/>
      <c r="S17" s="5"/>
      <c r="T17" s="5"/>
      <c r="U17" s="13">
        <f t="shared" si="3"/>
        <v>5.5</v>
      </c>
      <c r="V17" s="5"/>
      <c r="W17" s="5" t="s">
        <v>118</v>
      </c>
      <c r="X17" s="5" t="s">
        <v>116</v>
      </c>
      <c r="Y17" s="5">
        <f>(1.5/1+1)*0.5+2*0.5</f>
        <v>2.25</v>
      </c>
      <c r="Z17" s="13">
        <f t="shared" si="4"/>
        <v>2.25</v>
      </c>
      <c r="AA17" s="17">
        <f t="shared" si="5"/>
        <v>7.5</v>
      </c>
      <c r="AB17" s="17">
        <f t="shared" si="6"/>
        <v>8.625</v>
      </c>
      <c r="AC17" s="17">
        <f t="shared" si="7"/>
        <v>6.84</v>
      </c>
      <c r="AD17" s="17">
        <f t="shared" si="8"/>
        <v>6.17625</v>
      </c>
      <c r="AE17" s="5"/>
      <c r="AF17" s="17">
        <f t="shared" si="9"/>
        <v>3.75</v>
      </c>
      <c r="AG17" s="17">
        <f t="shared" si="0"/>
        <v>4.3125</v>
      </c>
      <c r="AH17" s="17">
        <f t="shared" si="1"/>
        <v>3.42</v>
      </c>
      <c r="AI17" s="17">
        <f t="shared" si="2"/>
        <v>3.088125</v>
      </c>
      <c r="AJ17" s="5"/>
      <c r="AK17" s="5"/>
      <c r="AL17" s="5"/>
      <c r="AM17" s="5"/>
    </row>
    <row r="18" spans="1:39">
      <c r="A18" s="2">
        <v>1916</v>
      </c>
      <c r="B18" s="2" t="s">
        <v>12</v>
      </c>
      <c r="C18" s="2" t="s">
        <v>47</v>
      </c>
      <c r="D18" s="1" t="s">
        <v>48</v>
      </c>
      <c r="F18" s="5">
        <v>9</v>
      </c>
      <c r="G18" s="5"/>
      <c r="H18" s="5"/>
      <c r="I18" s="5" t="s">
        <v>121</v>
      </c>
      <c r="J18" s="5">
        <v>9</v>
      </c>
      <c r="K18" s="5"/>
      <c r="L18" s="5" t="s">
        <v>121</v>
      </c>
      <c r="M18" s="12">
        <f>9*0.7+5*0.3</f>
        <v>7.8</v>
      </c>
      <c r="N18" s="5">
        <v>6</v>
      </c>
      <c r="O18" s="5">
        <v>0.7</v>
      </c>
      <c r="P18" s="5" t="s">
        <v>120</v>
      </c>
      <c r="Q18" s="12">
        <f>(N18*0.7+5*0.3)*O18</f>
        <v>3.99</v>
      </c>
      <c r="R18" s="5">
        <v>3</v>
      </c>
      <c r="S18" s="5"/>
      <c r="T18" s="5"/>
      <c r="U18" s="13">
        <f t="shared" si="3"/>
        <v>10.593</v>
      </c>
      <c r="V18" s="5"/>
      <c r="W18" s="5" t="s">
        <v>122</v>
      </c>
      <c r="X18" s="5"/>
      <c r="Y18" s="5">
        <f>1+1</f>
        <v>2</v>
      </c>
      <c r="Z18" s="13">
        <f t="shared" si="4"/>
        <v>2</v>
      </c>
      <c r="AA18" s="17">
        <f t="shared" si="5"/>
        <v>10.94475</v>
      </c>
      <c r="AB18" s="17">
        <f t="shared" si="6"/>
        <v>11.94475</v>
      </c>
      <c r="AC18" s="17">
        <f t="shared" si="7"/>
        <v>10.18696</v>
      </c>
      <c r="AD18" s="17">
        <f t="shared" si="8"/>
        <v>9.340275</v>
      </c>
      <c r="AE18" s="5"/>
      <c r="AF18" s="17">
        <f t="shared" si="9"/>
        <v>5.472375</v>
      </c>
      <c r="AG18" s="17">
        <f t="shared" si="0"/>
        <v>5.972375</v>
      </c>
      <c r="AH18" s="17">
        <f t="shared" si="1"/>
        <v>5.09348</v>
      </c>
      <c r="AI18" s="17">
        <f t="shared" si="2"/>
        <v>4.6701375</v>
      </c>
      <c r="AJ18" s="5"/>
      <c r="AK18" s="5">
        <v>9</v>
      </c>
      <c r="AL18" s="5" t="s">
        <v>123</v>
      </c>
      <c r="AM18" s="5">
        <v>8.5</v>
      </c>
    </row>
    <row r="19" spans="1:39">
      <c r="A19" s="2">
        <v>1916</v>
      </c>
      <c r="B19" s="2" t="s">
        <v>12</v>
      </c>
      <c r="C19" s="2" t="s">
        <v>49</v>
      </c>
      <c r="D19" s="1" t="s">
        <v>50</v>
      </c>
      <c r="F19" s="5">
        <v>9</v>
      </c>
      <c r="G19" s="5"/>
      <c r="H19" s="5"/>
      <c r="I19" s="5" t="s">
        <v>120</v>
      </c>
      <c r="J19" s="5">
        <v>9</v>
      </c>
      <c r="K19" s="5"/>
      <c r="L19" s="5" t="s">
        <v>120</v>
      </c>
      <c r="M19" s="12">
        <f>9*0.7+5*0.3</f>
        <v>7.8</v>
      </c>
      <c r="N19" s="5">
        <v>6</v>
      </c>
      <c r="O19" s="5">
        <v>0.7</v>
      </c>
      <c r="P19" s="5" t="s">
        <v>120</v>
      </c>
      <c r="Q19" s="12">
        <f>(N19*0.7+5*0.3)*O19</f>
        <v>3.99</v>
      </c>
      <c r="R19" s="5">
        <v>6</v>
      </c>
      <c r="S19" s="5" t="s">
        <v>120</v>
      </c>
      <c r="T19" s="5"/>
      <c r="U19" s="13">
        <f t="shared" si="3"/>
        <v>10.593</v>
      </c>
      <c r="V19" s="5"/>
      <c r="W19" s="5" t="s">
        <v>122</v>
      </c>
      <c r="X19" s="5"/>
      <c r="Y19" s="5">
        <f>1+1</f>
        <v>2</v>
      </c>
      <c r="Z19" s="13">
        <f t="shared" si="4"/>
        <v>2</v>
      </c>
      <c r="AA19" s="18">
        <f t="shared" si="5"/>
        <v>10.94475</v>
      </c>
      <c r="AB19" s="18">
        <f t="shared" si="6"/>
        <v>11.94475</v>
      </c>
      <c r="AC19" s="18">
        <f t="shared" si="7"/>
        <v>10.18696</v>
      </c>
      <c r="AD19" s="18">
        <f t="shared" si="8"/>
        <v>9.340275</v>
      </c>
      <c r="AE19" s="5"/>
      <c r="AF19" s="17">
        <f t="shared" si="9"/>
        <v>5.472375</v>
      </c>
      <c r="AG19" s="17">
        <f t="shared" si="0"/>
        <v>5.972375</v>
      </c>
      <c r="AH19" s="17">
        <f t="shared" si="1"/>
        <v>5.09348</v>
      </c>
      <c r="AI19" s="17">
        <f t="shared" si="2"/>
        <v>4.6701375</v>
      </c>
      <c r="AJ19" s="5"/>
      <c r="AK19" s="5">
        <v>9</v>
      </c>
      <c r="AL19" s="5">
        <v>9</v>
      </c>
      <c r="AM19" s="5">
        <v>9</v>
      </c>
    </row>
    <row r="20" spans="6:39">
      <c r="F20" s="5"/>
      <c r="G20" s="5"/>
      <c r="H20" s="5"/>
      <c r="I20" s="5"/>
      <c r="J20" s="5"/>
      <c r="K20" s="5"/>
      <c r="L20" s="5"/>
      <c r="M20" s="12"/>
      <c r="N20" s="5"/>
      <c r="O20" s="5"/>
      <c r="P20" s="5"/>
      <c r="Q20" s="12"/>
      <c r="R20" s="5"/>
      <c r="S20" s="5"/>
      <c r="T20" s="5"/>
      <c r="U20" s="13"/>
      <c r="V20" s="5"/>
      <c r="W20" s="5"/>
      <c r="X20" s="5"/>
      <c r="Y20" s="5"/>
      <c r="Z20" s="13"/>
      <c r="AA20" s="19"/>
      <c r="AB20" s="19"/>
      <c r="AC20" s="19"/>
      <c r="AD20" s="19"/>
      <c r="AE20" s="5"/>
      <c r="AF20" s="17">
        <f t="shared" si="9"/>
        <v>0</v>
      </c>
      <c r="AG20" s="17">
        <f t="shared" si="0"/>
        <v>0</v>
      </c>
      <c r="AH20" s="17">
        <f t="shared" si="1"/>
        <v>0</v>
      </c>
      <c r="AI20" s="17">
        <f t="shared" si="2"/>
        <v>0</v>
      </c>
      <c r="AJ20" s="5"/>
      <c r="AK20" s="5"/>
      <c r="AL20" s="5"/>
      <c r="AM20" s="5"/>
    </row>
    <row r="21" spans="1:39">
      <c r="A21" s="2"/>
      <c r="B21" s="2"/>
      <c r="C21" s="2"/>
      <c r="D21" s="1"/>
      <c r="F21" s="5"/>
      <c r="G21" s="5"/>
      <c r="H21" s="5"/>
      <c r="I21" s="5"/>
      <c r="J21" s="5"/>
      <c r="K21" s="5"/>
      <c r="L21" s="5"/>
      <c r="M21" s="12"/>
      <c r="N21" s="5"/>
      <c r="O21" s="5"/>
      <c r="P21" s="5"/>
      <c r="Q21" s="12"/>
      <c r="R21" s="5"/>
      <c r="S21" s="5"/>
      <c r="T21" s="5"/>
      <c r="U21" s="13"/>
      <c r="V21" s="5"/>
      <c r="W21" s="5"/>
      <c r="X21" s="5"/>
      <c r="Y21" s="5"/>
      <c r="Z21" s="13"/>
      <c r="AA21" s="19"/>
      <c r="AB21" s="19"/>
      <c r="AC21" s="19"/>
      <c r="AD21" s="19"/>
      <c r="AE21" s="5"/>
      <c r="AF21" s="17">
        <f t="shared" si="9"/>
        <v>0</v>
      </c>
      <c r="AG21" s="17">
        <f t="shared" si="0"/>
        <v>0</v>
      </c>
      <c r="AH21" s="17">
        <f t="shared" si="1"/>
        <v>0</v>
      </c>
      <c r="AI21" s="17">
        <f t="shared" si="2"/>
        <v>0</v>
      </c>
      <c r="AJ21" s="5"/>
      <c r="AK21" s="5"/>
      <c r="AL21" s="5"/>
      <c r="AM21" s="5"/>
    </row>
    <row r="22" spans="1:40">
      <c r="A22" s="2">
        <v>1916</v>
      </c>
      <c r="B22" s="2" t="s">
        <v>51</v>
      </c>
      <c r="C22" s="2" t="s">
        <v>52</v>
      </c>
      <c r="D22" s="1" t="s">
        <v>53</v>
      </c>
      <c r="F22" s="5">
        <v>290</v>
      </c>
      <c r="G22" s="5"/>
      <c r="H22" s="5"/>
      <c r="I22" s="5"/>
      <c r="J22" s="5">
        <v>165</v>
      </c>
      <c r="K22" s="5"/>
      <c r="L22" s="5" t="s">
        <v>106</v>
      </c>
      <c r="M22" s="12">
        <f>(F22*0.5+J22*0.5)/25.4</f>
        <v>8.95669291338583</v>
      </c>
      <c r="N22" s="5">
        <v>160</v>
      </c>
      <c r="O22" s="5">
        <v>0.6</v>
      </c>
      <c r="P22" s="5"/>
      <c r="Q22" s="12">
        <f>N22*O22/25.4</f>
        <v>3.77952755905512</v>
      </c>
      <c r="R22" s="5">
        <v>0</v>
      </c>
      <c r="S22" s="5"/>
      <c r="T22" s="5"/>
      <c r="U22" s="13">
        <f>M22+Q22*0.7+T22/25.4</f>
        <v>11.6023622047244</v>
      </c>
      <c r="V22" s="5"/>
      <c r="W22" s="5" t="s">
        <v>124</v>
      </c>
      <c r="X22" s="5" t="s">
        <v>125</v>
      </c>
      <c r="Y22" s="5">
        <f>(25+38)*0.5+58*0.5</f>
        <v>60.5</v>
      </c>
      <c r="Z22" s="13">
        <f>(Y22+T22)/25.4</f>
        <v>2.38188976377953</v>
      </c>
      <c r="AA22" s="20">
        <f t="shared" si="5"/>
        <v>12.2746062992126</v>
      </c>
      <c r="AB22" s="20">
        <f t="shared" si="6"/>
        <v>13.4655511811024</v>
      </c>
      <c r="AC22" s="20">
        <f t="shared" si="7"/>
        <v>11.4025196850394</v>
      </c>
      <c r="AD22" s="20">
        <f t="shared" si="8"/>
        <v>10.4397637795276</v>
      </c>
      <c r="AE22" s="5"/>
      <c r="AF22" s="17">
        <f t="shared" si="9"/>
        <v>6.1373031496063</v>
      </c>
      <c r="AG22" s="17">
        <f t="shared" si="0"/>
        <v>6.73277559055118</v>
      </c>
      <c r="AH22" s="17">
        <f t="shared" si="1"/>
        <v>5.70125984251969</v>
      </c>
      <c r="AI22" s="17">
        <f t="shared" si="2"/>
        <v>5.21988188976378</v>
      </c>
      <c r="AJ22" s="5"/>
      <c r="AK22" s="5">
        <v>280</v>
      </c>
      <c r="AL22" s="5">
        <v>280</v>
      </c>
      <c r="AM22" s="5">
        <v>280</v>
      </c>
      <c r="AN22" s="22">
        <f>AM22/25.4</f>
        <v>11.0236220472441</v>
      </c>
    </row>
    <row r="23" spans="1:40">
      <c r="A23" s="2">
        <v>1916</v>
      </c>
      <c r="B23" s="2" t="s">
        <v>51</v>
      </c>
      <c r="C23" s="2" t="s">
        <v>54</v>
      </c>
      <c r="D23" s="1" t="s">
        <v>55</v>
      </c>
      <c r="F23" s="5">
        <v>300</v>
      </c>
      <c r="G23" s="5"/>
      <c r="H23" s="5"/>
      <c r="I23" s="5"/>
      <c r="J23" s="5">
        <v>170</v>
      </c>
      <c r="K23" s="5"/>
      <c r="L23" s="5"/>
      <c r="M23" s="12">
        <f>(F23*0.5+J23*0.5)/25.4</f>
        <v>9.25196850393701</v>
      </c>
      <c r="N23" s="5">
        <v>170</v>
      </c>
      <c r="O23" s="5">
        <v>0.6</v>
      </c>
      <c r="P23" s="5"/>
      <c r="Q23" s="12">
        <f t="shared" ref="Q23:Q29" si="12">N23*O23/25.4</f>
        <v>4.01574803149606</v>
      </c>
      <c r="R23" s="5">
        <v>0</v>
      </c>
      <c r="S23" s="5"/>
      <c r="T23" s="5"/>
      <c r="U23" s="13">
        <f t="shared" ref="U23:U30" si="13">M23+Q23*0.7+T23/25.4</f>
        <v>12.0629921259843</v>
      </c>
      <c r="V23" s="5"/>
      <c r="W23" s="5" t="s">
        <v>126</v>
      </c>
      <c r="X23" s="5" t="s">
        <v>127</v>
      </c>
      <c r="Y23" s="5">
        <f>(45+40)*0.5+60*0.5</f>
        <v>72.5</v>
      </c>
      <c r="Z23" s="13">
        <f t="shared" ref="Z23:Z30" si="14">(Y23+T23)/25.4</f>
        <v>2.85433070866142</v>
      </c>
      <c r="AA23" s="17">
        <f t="shared" si="5"/>
        <v>13.3287401574803</v>
      </c>
      <c r="AB23" s="17">
        <f t="shared" si="6"/>
        <v>14.755905511811</v>
      </c>
      <c r="AC23" s="17">
        <f t="shared" si="7"/>
        <v>12.3388976377953</v>
      </c>
      <c r="AD23" s="17">
        <f t="shared" si="8"/>
        <v>11.2680118110236</v>
      </c>
      <c r="AE23" s="5"/>
      <c r="AF23" s="17">
        <f t="shared" si="9"/>
        <v>6.66437007874016</v>
      </c>
      <c r="AG23" s="17">
        <f t="shared" si="0"/>
        <v>7.37795275590551</v>
      </c>
      <c r="AH23" s="17">
        <f t="shared" si="1"/>
        <v>6.16944881889764</v>
      </c>
      <c r="AI23" s="17">
        <f t="shared" si="2"/>
        <v>5.63400590551181</v>
      </c>
      <c r="AJ23" s="5"/>
      <c r="AK23" s="5" t="s">
        <v>128</v>
      </c>
      <c r="AL23" s="5" t="s">
        <v>129</v>
      </c>
      <c r="AM23" s="5">
        <v>270</v>
      </c>
      <c r="AN23" s="22">
        <f t="shared" ref="AN23:AN30" si="15">AM23/25.4</f>
        <v>10.6299212598425</v>
      </c>
    </row>
    <row r="24" spans="1:40">
      <c r="A24" s="2">
        <v>1916</v>
      </c>
      <c r="B24" s="2" t="s">
        <v>51</v>
      </c>
      <c r="C24" s="2" t="s">
        <v>56</v>
      </c>
      <c r="D24" s="1" t="s">
        <v>57</v>
      </c>
      <c r="F24" s="5">
        <v>350</v>
      </c>
      <c r="G24" s="5">
        <v>265</v>
      </c>
      <c r="H24" s="5">
        <v>0.4</v>
      </c>
      <c r="I24" s="5" t="s">
        <v>106</v>
      </c>
      <c r="J24" s="5">
        <v>350</v>
      </c>
      <c r="K24" s="5">
        <v>0.6</v>
      </c>
      <c r="L24" s="5"/>
      <c r="M24" s="12">
        <f t="shared" ref="M24:M29" si="16">(G24*H24+J24*K24)/25.4</f>
        <v>12.4409448818898</v>
      </c>
      <c r="N24" s="5">
        <v>200</v>
      </c>
      <c r="O24" s="5">
        <v>0.6</v>
      </c>
      <c r="P24" s="5"/>
      <c r="Q24" s="12">
        <f t="shared" si="12"/>
        <v>4.7244094488189</v>
      </c>
      <c r="R24" s="5">
        <v>170</v>
      </c>
      <c r="S24" s="5"/>
      <c r="T24" s="5">
        <v>30</v>
      </c>
      <c r="U24" s="13">
        <f t="shared" si="13"/>
        <v>16.9291338582677</v>
      </c>
      <c r="V24" s="5"/>
      <c r="W24" s="5" t="s">
        <v>130</v>
      </c>
      <c r="X24" s="5"/>
      <c r="Y24" s="5">
        <f>30+30</f>
        <v>60</v>
      </c>
      <c r="Z24" s="13">
        <f t="shared" si="14"/>
        <v>3.54330708661417</v>
      </c>
      <c r="AA24" s="17">
        <f t="shared" si="5"/>
        <v>18.011811023622</v>
      </c>
      <c r="AB24" s="17">
        <f t="shared" si="6"/>
        <v>19.7834645669291</v>
      </c>
      <c r="AC24" s="17">
        <f t="shared" si="7"/>
        <v>16.7244094488189</v>
      </c>
      <c r="AD24" s="17">
        <f t="shared" si="8"/>
        <v>15.3070866141732</v>
      </c>
      <c r="AE24" s="5"/>
      <c r="AF24" s="17">
        <f t="shared" si="9"/>
        <v>9.00590551181102</v>
      </c>
      <c r="AG24" s="17">
        <f t="shared" si="0"/>
        <v>9.89173228346457</v>
      </c>
      <c r="AH24" s="17">
        <f t="shared" si="1"/>
        <v>8.36220472440945</v>
      </c>
      <c r="AI24" s="17">
        <f t="shared" si="2"/>
        <v>7.65354330708662</v>
      </c>
      <c r="AJ24" s="5"/>
      <c r="AK24" s="5" t="s">
        <v>128</v>
      </c>
      <c r="AL24" s="5">
        <v>300</v>
      </c>
      <c r="AM24" s="5">
        <v>300</v>
      </c>
      <c r="AN24" s="22">
        <f t="shared" si="15"/>
        <v>11.8110236220472</v>
      </c>
    </row>
    <row r="25" spans="1:40">
      <c r="A25" s="2">
        <v>1916</v>
      </c>
      <c r="B25" s="2" t="s">
        <v>51</v>
      </c>
      <c r="C25" s="2" t="s">
        <v>58</v>
      </c>
      <c r="D25" s="1" t="s">
        <v>59</v>
      </c>
      <c r="F25" s="5">
        <v>350</v>
      </c>
      <c r="G25" s="5">
        <v>265</v>
      </c>
      <c r="H25" s="5">
        <v>0.4</v>
      </c>
      <c r="I25" s="5" t="s">
        <v>106</v>
      </c>
      <c r="J25" s="5">
        <v>350</v>
      </c>
      <c r="K25" s="5">
        <v>0.6</v>
      </c>
      <c r="L25" s="5"/>
      <c r="M25" s="12">
        <f t="shared" si="16"/>
        <v>12.4409448818898</v>
      </c>
      <c r="N25" s="5">
        <v>200</v>
      </c>
      <c r="O25" s="5">
        <v>0.6</v>
      </c>
      <c r="P25" s="5"/>
      <c r="Q25" s="12">
        <f t="shared" si="12"/>
        <v>4.7244094488189</v>
      </c>
      <c r="R25" s="5">
        <v>170</v>
      </c>
      <c r="S25" s="5"/>
      <c r="T25" s="5">
        <v>30</v>
      </c>
      <c r="U25" s="13">
        <f t="shared" si="13"/>
        <v>16.9291338582677</v>
      </c>
      <c r="V25" s="5"/>
      <c r="W25" s="5" t="s">
        <v>130</v>
      </c>
      <c r="X25" s="5"/>
      <c r="Y25" s="5">
        <f>30+30</f>
        <v>60</v>
      </c>
      <c r="Z25" s="13">
        <f t="shared" si="14"/>
        <v>3.54330708661417</v>
      </c>
      <c r="AA25" s="17">
        <f t="shared" si="5"/>
        <v>18.011811023622</v>
      </c>
      <c r="AB25" s="17">
        <f t="shared" si="6"/>
        <v>19.7834645669291</v>
      </c>
      <c r="AC25" s="17">
        <f t="shared" si="7"/>
        <v>16.7244094488189</v>
      </c>
      <c r="AD25" s="17">
        <f t="shared" si="8"/>
        <v>15.3070866141732</v>
      </c>
      <c r="AE25" s="5"/>
      <c r="AF25" s="17">
        <f t="shared" si="9"/>
        <v>9.00590551181102</v>
      </c>
      <c r="AG25" s="17">
        <f t="shared" si="0"/>
        <v>9.89173228346457</v>
      </c>
      <c r="AH25" s="17">
        <f t="shared" si="1"/>
        <v>8.36220472440945</v>
      </c>
      <c r="AI25" s="17">
        <f t="shared" si="2"/>
        <v>7.65354330708662</v>
      </c>
      <c r="AJ25" s="5"/>
      <c r="AK25" s="5" t="s">
        <v>128</v>
      </c>
      <c r="AL25" s="5">
        <v>300</v>
      </c>
      <c r="AM25" s="5">
        <v>300</v>
      </c>
      <c r="AN25" s="22">
        <f t="shared" si="15"/>
        <v>11.8110236220472</v>
      </c>
    </row>
    <row r="26" spans="1:40">
      <c r="A26" s="2">
        <v>1916</v>
      </c>
      <c r="B26" s="2" t="s">
        <v>51</v>
      </c>
      <c r="C26" s="1" t="s">
        <v>60</v>
      </c>
      <c r="D26" s="1" t="s">
        <v>61</v>
      </c>
      <c r="F26" s="5">
        <v>350</v>
      </c>
      <c r="G26" s="5">
        <v>260</v>
      </c>
      <c r="H26" s="5">
        <v>0.4</v>
      </c>
      <c r="I26" s="5" t="s">
        <v>106</v>
      </c>
      <c r="J26" s="5">
        <v>350</v>
      </c>
      <c r="K26" s="5">
        <v>0.6</v>
      </c>
      <c r="L26" s="5"/>
      <c r="M26" s="12">
        <f t="shared" si="16"/>
        <v>12.3622047244094</v>
      </c>
      <c r="N26" s="5">
        <v>250</v>
      </c>
      <c r="O26" s="5">
        <v>0.55</v>
      </c>
      <c r="P26" s="5"/>
      <c r="Q26" s="12">
        <f t="shared" si="12"/>
        <v>5.41338582677165</v>
      </c>
      <c r="R26" s="5">
        <v>170</v>
      </c>
      <c r="S26" s="5"/>
      <c r="T26" s="5">
        <v>30</v>
      </c>
      <c r="U26" s="13">
        <f t="shared" si="13"/>
        <v>17.3326771653543</v>
      </c>
      <c r="V26" s="5"/>
      <c r="W26" s="5" t="s">
        <v>131</v>
      </c>
      <c r="X26" s="5"/>
      <c r="Y26" s="5">
        <f>30+40</f>
        <v>70</v>
      </c>
      <c r="Z26" s="13">
        <f t="shared" si="14"/>
        <v>3.93700787401575</v>
      </c>
      <c r="AA26" s="17">
        <f t="shared" si="5"/>
        <v>18.9050196850394</v>
      </c>
      <c r="AB26" s="17">
        <f t="shared" si="6"/>
        <v>20.8735236220472</v>
      </c>
      <c r="AC26" s="17">
        <f t="shared" si="7"/>
        <v>17.5188976377953</v>
      </c>
      <c r="AD26" s="17">
        <f t="shared" si="8"/>
        <v>16.0105807086614</v>
      </c>
      <c r="AE26" s="5"/>
      <c r="AF26" s="17">
        <f t="shared" si="9"/>
        <v>9.45250984251969</v>
      </c>
      <c r="AG26" s="17">
        <f t="shared" si="0"/>
        <v>10.4367618110236</v>
      </c>
      <c r="AH26" s="17">
        <f t="shared" si="1"/>
        <v>8.75944881889764</v>
      </c>
      <c r="AI26" s="17">
        <f t="shared" si="2"/>
        <v>8.00529035433071</v>
      </c>
      <c r="AJ26" s="5"/>
      <c r="AK26" s="5" t="s">
        <v>132</v>
      </c>
      <c r="AL26" s="5">
        <v>350</v>
      </c>
      <c r="AM26" s="5">
        <v>350</v>
      </c>
      <c r="AN26" s="22">
        <f t="shared" si="15"/>
        <v>13.7795275590551</v>
      </c>
    </row>
    <row r="27" spans="1:40">
      <c r="A27" s="2">
        <v>1916</v>
      </c>
      <c r="B27" s="2" t="s">
        <v>51</v>
      </c>
      <c r="C27" s="1" t="s">
        <v>62</v>
      </c>
      <c r="D27" s="1" t="s">
        <v>63</v>
      </c>
      <c r="F27" s="5">
        <v>250</v>
      </c>
      <c r="G27" s="5">
        <v>225</v>
      </c>
      <c r="H27" s="5">
        <v>0.5</v>
      </c>
      <c r="I27" s="5" t="s">
        <v>106</v>
      </c>
      <c r="J27" s="5">
        <v>200</v>
      </c>
      <c r="K27" s="5">
        <v>0.5</v>
      </c>
      <c r="L27" s="5" t="s">
        <v>106</v>
      </c>
      <c r="M27" s="12">
        <f t="shared" si="16"/>
        <v>8.36614173228346</v>
      </c>
      <c r="N27" s="5">
        <v>150</v>
      </c>
      <c r="O27" s="5">
        <v>0.2</v>
      </c>
      <c r="P27" s="5" t="s">
        <v>133</v>
      </c>
      <c r="Q27" s="12">
        <f>N27*O27*0.7/25.4</f>
        <v>0.826771653543307</v>
      </c>
      <c r="R27" s="5"/>
      <c r="S27" s="5"/>
      <c r="T27" s="5"/>
      <c r="U27" s="13">
        <f t="shared" si="13"/>
        <v>8.94488188976378</v>
      </c>
      <c r="V27" s="5"/>
      <c r="W27" s="5" t="s">
        <v>134</v>
      </c>
      <c r="X27" s="5" t="s">
        <v>135</v>
      </c>
      <c r="Y27" s="5">
        <f>(25+25)*0.5+50*0.5</f>
        <v>50</v>
      </c>
      <c r="Z27" s="13">
        <f t="shared" si="14"/>
        <v>1.96850393700787</v>
      </c>
      <c r="AA27" s="17">
        <f t="shared" si="5"/>
        <v>9.66141732283465</v>
      </c>
      <c r="AB27" s="17">
        <f t="shared" si="6"/>
        <v>10.6456692913386</v>
      </c>
      <c r="AC27" s="17">
        <f t="shared" si="7"/>
        <v>8.96</v>
      </c>
      <c r="AD27" s="17">
        <f t="shared" si="8"/>
        <v>8.19330708661417</v>
      </c>
      <c r="AE27" s="5"/>
      <c r="AF27" s="17">
        <f t="shared" si="9"/>
        <v>4.83070866141732</v>
      </c>
      <c r="AG27" s="17">
        <f t="shared" si="0"/>
        <v>5.32283464566929</v>
      </c>
      <c r="AH27" s="17">
        <f t="shared" si="1"/>
        <v>4.48</v>
      </c>
      <c r="AI27" s="17">
        <f t="shared" si="2"/>
        <v>4.09665354330709</v>
      </c>
      <c r="AJ27" s="5"/>
      <c r="AK27" s="5" t="s">
        <v>136</v>
      </c>
      <c r="AL27" s="5">
        <v>200</v>
      </c>
      <c r="AM27" s="5">
        <v>200</v>
      </c>
      <c r="AN27" s="22">
        <f t="shared" si="15"/>
        <v>7.8740157480315</v>
      </c>
    </row>
    <row r="28" spans="1:40">
      <c r="A28" s="2">
        <v>1916</v>
      </c>
      <c r="B28" s="2" t="s">
        <v>51</v>
      </c>
      <c r="C28" s="1" t="s">
        <v>64</v>
      </c>
      <c r="D28" s="1" t="s">
        <v>65</v>
      </c>
      <c r="F28" s="5">
        <v>270</v>
      </c>
      <c r="G28" s="5">
        <v>235</v>
      </c>
      <c r="H28" s="5">
        <v>0.5</v>
      </c>
      <c r="I28" s="5" t="s">
        <v>106</v>
      </c>
      <c r="J28" s="5">
        <v>200</v>
      </c>
      <c r="K28" s="5">
        <v>0.5</v>
      </c>
      <c r="L28" s="5" t="s">
        <v>106</v>
      </c>
      <c r="M28" s="12">
        <f t="shared" si="16"/>
        <v>8.56299212598425</v>
      </c>
      <c r="N28" s="5">
        <v>150</v>
      </c>
      <c r="O28" s="5">
        <v>0.2</v>
      </c>
      <c r="P28" s="5" t="s">
        <v>133</v>
      </c>
      <c r="Q28" s="12">
        <f>N28*O28*0.7/25.4</f>
        <v>0.826771653543307</v>
      </c>
      <c r="R28" s="5"/>
      <c r="S28" s="5"/>
      <c r="T28" s="5">
        <v>30</v>
      </c>
      <c r="U28" s="13">
        <f t="shared" si="13"/>
        <v>10.3228346456693</v>
      </c>
      <c r="V28" s="5"/>
      <c r="W28" s="5" t="s">
        <v>137</v>
      </c>
      <c r="X28" s="5"/>
      <c r="Y28" s="5">
        <f>35+50</f>
        <v>85</v>
      </c>
      <c r="Z28" s="13">
        <f t="shared" si="14"/>
        <v>4.52755905511811</v>
      </c>
      <c r="AA28" s="17">
        <f t="shared" si="5"/>
        <v>14.5334645669291</v>
      </c>
      <c r="AB28" s="17">
        <f t="shared" si="6"/>
        <v>16.7972440944882</v>
      </c>
      <c r="AC28" s="17">
        <f t="shared" si="7"/>
        <v>13.2277165354331</v>
      </c>
      <c r="AD28" s="17">
        <f t="shared" si="8"/>
        <v>11.9255905511811</v>
      </c>
      <c r="AE28" s="5"/>
      <c r="AF28" s="17">
        <f t="shared" si="9"/>
        <v>7.26673228346457</v>
      </c>
      <c r="AG28" s="17">
        <f t="shared" si="0"/>
        <v>8.39862204724409</v>
      </c>
      <c r="AH28" s="17">
        <f t="shared" si="1"/>
        <v>6.61385826771654</v>
      </c>
      <c r="AI28" s="17">
        <f t="shared" si="2"/>
        <v>5.96279527559055</v>
      </c>
      <c r="AJ28" s="5"/>
      <c r="AK28" s="5" t="s">
        <v>136</v>
      </c>
      <c r="AL28" s="5">
        <v>200</v>
      </c>
      <c r="AM28" s="5">
        <v>200</v>
      </c>
      <c r="AN28" s="22">
        <f t="shared" si="15"/>
        <v>7.8740157480315</v>
      </c>
    </row>
    <row r="29" spans="1:40">
      <c r="A29" s="2">
        <v>1916</v>
      </c>
      <c r="B29" s="2" t="s">
        <v>51</v>
      </c>
      <c r="C29" s="1" t="s">
        <v>66</v>
      </c>
      <c r="D29" s="1" t="s">
        <v>67</v>
      </c>
      <c r="F29" s="5">
        <v>300</v>
      </c>
      <c r="G29" s="5">
        <v>260</v>
      </c>
      <c r="H29" s="5">
        <v>0.5</v>
      </c>
      <c r="I29" s="5" t="s">
        <v>106</v>
      </c>
      <c r="J29" s="5">
        <v>230</v>
      </c>
      <c r="K29" s="5">
        <v>0.5</v>
      </c>
      <c r="L29" s="5" t="s">
        <v>106</v>
      </c>
      <c r="M29" s="12">
        <f t="shared" si="16"/>
        <v>9.64566929133858</v>
      </c>
      <c r="N29" s="5">
        <v>150</v>
      </c>
      <c r="O29" s="5">
        <v>0.2</v>
      </c>
      <c r="P29" s="5" t="s">
        <v>133</v>
      </c>
      <c r="Q29" s="12">
        <f>N29*O29*0.7/25.4</f>
        <v>0.826771653543307</v>
      </c>
      <c r="R29" s="5"/>
      <c r="S29" s="5"/>
      <c r="T29" s="5">
        <v>50</v>
      </c>
      <c r="U29" s="13">
        <f t="shared" si="13"/>
        <v>12.1929133858268</v>
      </c>
      <c r="V29" s="5"/>
      <c r="W29" s="5" t="s">
        <v>137</v>
      </c>
      <c r="X29" s="5"/>
      <c r="Y29" s="5">
        <f>35+50</f>
        <v>85</v>
      </c>
      <c r="Z29" s="13">
        <f t="shared" si="14"/>
        <v>5.31496062992126</v>
      </c>
      <c r="AA29" s="17">
        <f t="shared" si="5"/>
        <v>17.117125984252</v>
      </c>
      <c r="AB29" s="17">
        <f t="shared" si="6"/>
        <v>19.7746062992126</v>
      </c>
      <c r="AC29" s="17">
        <f t="shared" si="7"/>
        <v>15.5820472440945</v>
      </c>
      <c r="AD29" s="17">
        <f t="shared" si="8"/>
        <v>14.0500984251969</v>
      </c>
      <c r="AE29" s="5"/>
      <c r="AF29" s="17">
        <f t="shared" si="9"/>
        <v>8.55856299212599</v>
      </c>
      <c r="AG29" s="17">
        <f t="shared" si="0"/>
        <v>9.8873031496063</v>
      </c>
      <c r="AH29" s="17">
        <f t="shared" si="1"/>
        <v>7.79102362204724</v>
      </c>
      <c r="AI29" s="17">
        <f t="shared" si="2"/>
        <v>7.02504921259843</v>
      </c>
      <c r="AJ29" s="5"/>
      <c r="AK29" s="5" t="s">
        <v>138</v>
      </c>
      <c r="AL29" s="5">
        <v>230</v>
      </c>
      <c r="AM29" s="5">
        <v>230</v>
      </c>
      <c r="AN29" s="22">
        <f t="shared" si="15"/>
        <v>9.05511811023622</v>
      </c>
    </row>
    <row r="30" spans="1:40">
      <c r="A30" s="2">
        <v>1916</v>
      </c>
      <c r="B30" s="2" t="s">
        <v>51</v>
      </c>
      <c r="C30" s="1" t="s">
        <v>68</v>
      </c>
      <c r="D30" s="1" t="s">
        <v>69</v>
      </c>
      <c r="F30" s="5">
        <v>300</v>
      </c>
      <c r="G30" s="5"/>
      <c r="H30" s="5"/>
      <c r="I30" s="5"/>
      <c r="J30" s="5">
        <v>270</v>
      </c>
      <c r="K30" s="5"/>
      <c r="L30" s="5"/>
      <c r="M30" s="12">
        <f>(F30*0.5+J30*0.5)/25.4</f>
        <v>11.2204724409449</v>
      </c>
      <c r="N30" s="5">
        <v>230</v>
      </c>
      <c r="O30" s="5">
        <v>0.6</v>
      </c>
      <c r="P30" s="5"/>
      <c r="Q30" s="12">
        <f>N30*O30/25.4</f>
        <v>5.43307086614173</v>
      </c>
      <c r="R30" s="5">
        <v>150</v>
      </c>
      <c r="S30" s="5"/>
      <c r="T30" s="5">
        <v>30</v>
      </c>
      <c r="U30" s="13">
        <f t="shared" si="13"/>
        <v>16.2047244094488</v>
      </c>
      <c r="V30" s="5"/>
      <c r="W30" s="5" t="s">
        <v>139</v>
      </c>
      <c r="X30" s="5"/>
      <c r="Y30" s="5">
        <f>50+30</f>
        <v>80</v>
      </c>
      <c r="Z30" s="13">
        <f t="shared" si="14"/>
        <v>4.33070866141732</v>
      </c>
      <c r="AA30" s="17">
        <f t="shared" si="5"/>
        <v>18.6496062992126</v>
      </c>
      <c r="AB30" s="17">
        <f t="shared" si="6"/>
        <v>20.8149606299213</v>
      </c>
      <c r="AC30" s="17">
        <f t="shared" si="7"/>
        <v>17.2107086614173</v>
      </c>
      <c r="AD30" s="17">
        <f t="shared" si="8"/>
        <v>15.6803149606299</v>
      </c>
      <c r="AE30" s="5"/>
      <c r="AF30" s="17">
        <f t="shared" si="9"/>
        <v>9.3248031496063</v>
      </c>
      <c r="AG30" s="17">
        <f t="shared" si="0"/>
        <v>10.4074803149606</v>
      </c>
      <c r="AH30" s="17">
        <f t="shared" si="1"/>
        <v>8.60535433070866</v>
      </c>
      <c r="AI30" s="17">
        <f t="shared" si="2"/>
        <v>7.84015748031496</v>
      </c>
      <c r="AJ30" s="5"/>
      <c r="AK30" s="5" t="s">
        <v>140</v>
      </c>
      <c r="AL30" s="5">
        <v>260</v>
      </c>
      <c r="AM30" s="5">
        <v>260</v>
      </c>
      <c r="AN30" s="22">
        <f t="shared" si="15"/>
        <v>10.2362204724409</v>
      </c>
    </row>
    <row r="31" spans="1:39">
      <c r="A31" s="2">
        <v>1916</v>
      </c>
      <c r="B31" s="2" t="s">
        <v>51</v>
      </c>
      <c r="C31" s="1" t="s">
        <v>70</v>
      </c>
      <c r="D31" s="1" t="s">
        <v>71</v>
      </c>
      <c r="F31" s="5">
        <v>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 t="s">
        <v>141</v>
      </c>
      <c r="AA31" s="21" t="s">
        <v>142</v>
      </c>
      <c r="AB31" s="21" t="s">
        <v>143</v>
      </c>
      <c r="AC31" s="21" t="s">
        <v>144</v>
      </c>
      <c r="AD31" s="21" t="s">
        <v>145</v>
      </c>
      <c r="AE31" s="21"/>
      <c r="AF31" s="21"/>
      <c r="AG31" s="21"/>
      <c r="AH31" s="21"/>
      <c r="AI31" s="21"/>
      <c r="AJ31" s="21"/>
      <c r="AK31" s="5"/>
      <c r="AL31" s="5"/>
      <c r="AM31" s="5"/>
    </row>
    <row r="32" spans="26:30">
      <c r="Z32" s="5" t="s">
        <v>146</v>
      </c>
      <c r="AA32" s="5" t="s">
        <v>147</v>
      </c>
      <c r="AB32" s="5" t="s">
        <v>148</v>
      </c>
      <c r="AC32" s="5" t="s">
        <v>149</v>
      </c>
      <c r="AD32" s="5" t="s">
        <v>150</v>
      </c>
    </row>
    <row r="33" spans="1:37">
      <c r="A33" s="3" t="s">
        <v>151</v>
      </c>
      <c r="B33" s="3"/>
      <c r="C33" s="3"/>
      <c r="D33" s="3"/>
      <c r="E33" s="3"/>
      <c r="F33" s="3"/>
      <c r="J33" s="3" t="s">
        <v>152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22">
      <c r="A34" s="8" t="s">
        <v>153</v>
      </c>
      <c r="B34" s="3"/>
      <c r="C34" s="3"/>
      <c r="D34" s="3"/>
      <c r="E34" s="3"/>
      <c r="F34" s="3"/>
      <c r="I34" s="3" t="s">
        <v>154</v>
      </c>
      <c r="J34" s="3" t="s">
        <v>155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>
      <c r="A35" s="8" t="s">
        <v>156</v>
      </c>
      <c r="B35" s="3"/>
      <c r="C35" s="3"/>
      <c r="D35" s="3"/>
      <c r="E35" s="3"/>
      <c r="F35" s="3"/>
      <c r="I35" s="3"/>
      <c r="J35" s="3" t="s">
        <v>157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37">
      <c r="A36" s="9" t="s">
        <v>79</v>
      </c>
      <c r="B36" s="3"/>
      <c r="C36" s="3"/>
      <c r="D36" s="3"/>
      <c r="E36" s="3"/>
      <c r="F36" s="3"/>
      <c r="I36" s="3" t="s">
        <v>83</v>
      </c>
      <c r="J36" s="3" t="s">
        <v>158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spans="1:37">
      <c r="A37" s="9" t="s">
        <v>159</v>
      </c>
      <c r="B37" s="3"/>
      <c r="C37" s="3"/>
      <c r="D37" s="3"/>
      <c r="E37" s="3"/>
      <c r="F37" s="3"/>
      <c r="I37" s="3" t="s">
        <v>83</v>
      </c>
      <c r="J37" s="3" t="s">
        <v>160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spans="1:6">
      <c r="A38" s="9" t="s">
        <v>161</v>
      </c>
      <c r="B38" s="3"/>
      <c r="C38" s="3"/>
      <c r="D38" s="3"/>
      <c r="E38" s="3"/>
      <c r="F38" s="3"/>
    </row>
    <row r="39" spans="1:22">
      <c r="A39" s="9" t="s">
        <v>162</v>
      </c>
      <c r="B39" s="3"/>
      <c r="C39" s="3"/>
      <c r="D39" s="3"/>
      <c r="E39" s="3"/>
      <c r="F39" s="3"/>
      <c r="J39" s="3" t="s">
        <v>163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19">
      <c r="A40" s="9" t="s">
        <v>164</v>
      </c>
      <c r="B40" s="3"/>
      <c r="C40" s="3"/>
      <c r="D40" s="3"/>
      <c r="E40" s="3"/>
      <c r="F40" s="3"/>
      <c r="N40" s="3" t="s">
        <v>165</v>
      </c>
      <c r="O40" s="3"/>
      <c r="P40" s="3"/>
      <c r="Q40" s="3"/>
      <c r="R40" s="3"/>
      <c r="S40" s="3"/>
    </row>
    <row r="41" spans="1:19">
      <c r="A41" s="8" t="s">
        <v>166</v>
      </c>
      <c r="B41" s="3"/>
      <c r="C41" s="3"/>
      <c r="D41" s="3"/>
      <c r="E41" s="3"/>
      <c r="F41" s="3"/>
      <c r="N41" s="3"/>
      <c r="O41" s="3"/>
      <c r="P41" s="3"/>
      <c r="Q41" s="3"/>
      <c r="R41" s="3"/>
      <c r="S41" s="3"/>
    </row>
    <row r="42" spans="1:6">
      <c r="A42" s="3" t="s">
        <v>167</v>
      </c>
      <c r="B42" s="3"/>
      <c r="C42" s="3"/>
      <c r="D42" s="3"/>
      <c r="E42" s="3"/>
      <c r="F42" s="3"/>
    </row>
    <row r="43" spans="1:6">
      <c r="A43" s="3" t="s">
        <v>168</v>
      </c>
      <c r="B43" s="3"/>
      <c r="C43" s="3"/>
      <c r="D43" s="3"/>
      <c r="E43" s="3"/>
      <c r="F43" s="3"/>
    </row>
    <row r="44" spans="1:6">
      <c r="A44" s="3" t="s">
        <v>169</v>
      </c>
      <c r="B44" s="3"/>
      <c r="C44" s="3"/>
      <c r="D44" s="3"/>
      <c r="E44" s="3"/>
      <c r="F44" s="3"/>
    </row>
    <row r="45" spans="1:6">
      <c r="A45" s="3" t="s">
        <v>170</v>
      </c>
      <c r="B45" s="3"/>
      <c r="C45" s="3"/>
      <c r="D45" s="3"/>
      <c r="E45" s="3"/>
      <c r="F45" s="3"/>
    </row>
    <row r="46" spans="1:6">
      <c r="A46" s="3" t="s">
        <v>171</v>
      </c>
      <c r="B46" s="3"/>
      <c r="C46" s="3"/>
      <c r="D46" s="3"/>
      <c r="E46" s="3"/>
      <c r="F46" s="3"/>
    </row>
    <row r="47" spans="1:38">
      <c r="A47" s="3" t="s">
        <v>172</v>
      </c>
      <c r="B47" s="3"/>
      <c r="C47" s="3"/>
      <c r="D47" s="3"/>
      <c r="E47" s="3"/>
      <c r="F47" s="3"/>
      <c r="W47" s="3" t="s">
        <v>173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6">
      <c r="A48" s="3" t="s">
        <v>174</v>
      </c>
      <c r="B48" s="3"/>
      <c r="C48" s="3"/>
      <c r="D48" s="3"/>
      <c r="E48" s="3"/>
      <c r="F48" s="3"/>
    </row>
  </sheetData>
  <mergeCells count="25">
    <mergeCell ref="A33:F33"/>
    <mergeCell ref="J33:V33"/>
    <mergeCell ref="A34:F34"/>
    <mergeCell ref="J34:V34"/>
    <mergeCell ref="A35:F35"/>
    <mergeCell ref="J35:V35"/>
    <mergeCell ref="A36:F36"/>
    <mergeCell ref="J36:V36"/>
    <mergeCell ref="A37:F37"/>
    <mergeCell ref="J37:V37"/>
    <mergeCell ref="A38:F38"/>
    <mergeCell ref="A39:F39"/>
    <mergeCell ref="J39:V39"/>
    <mergeCell ref="A40:F40"/>
    <mergeCell ref="A41:F41"/>
    <mergeCell ref="A42:F42"/>
    <mergeCell ref="A43:F43"/>
    <mergeCell ref="A44:F44"/>
    <mergeCell ref="A45:F45"/>
    <mergeCell ref="A46:F46"/>
    <mergeCell ref="A47:F47"/>
    <mergeCell ref="W47:AL47"/>
    <mergeCell ref="A48:F48"/>
    <mergeCell ref="I34:I35"/>
    <mergeCell ref="N40:S41"/>
  </mergeCells>
  <hyperlinks>
    <hyperlink ref="A34" r:id="rId1" display="https://www.warship1.cn/thread-7433-1-1.html"/>
    <hyperlink ref="A35" r:id="rId2" display="https://www.warship1.cn/thread-7435-1-1.html"/>
    <hyperlink ref="A36" r:id="rId3" display="https://tieba.baidu.com/p/10710367839"/>
    <hyperlink ref="A37" r:id="rId4" display="https://tieba.baidu.com/p/10346601001"/>
    <hyperlink ref="A39" r:id="rId5" display="https://tieba.baidu.com/p/8989921235"/>
    <hyperlink ref="A38" r:id="rId6" display="https://tieba.baidu.com/p/9289591876"/>
    <hyperlink ref="A40" r:id="rId7" display="https://www.warship1.cn/forum.php?mod=viewthread&amp;tid=8542"/>
    <hyperlink ref="A41" r:id="rId8" display="https://www.bilibili.com/opus/1024120129801158724"/>
  </hyperlinks>
  <pageMargins left="0.7" right="0.7" top="0.75" bottom="0.75" header="0.3" footer="0.3"/>
  <pageSetup paperSize="9" orientation="portrait"/>
  <headerFooter/>
  <ignoredErrors>
    <ignoredError sqref="AA31:AD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G15" sqref="G15"/>
    </sheetView>
  </sheetViews>
  <sheetFormatPr defaultColWidth="9" defaultRowHeight="14.25" outlineLevelCol="4"/>
  <cols>
    <col min="1" max="2" width="5.375" style="1" customWidth="1"/>
    <col min="3" max="3" width="13.75" style="1" customWidth="1"/>
    <col min="4" max="4" width="17.125" style="1" customWidth="1"/>
    <col min="5" max="5" width="11.5" style="1" customWidth="1"/>
    <col min="6" max="16384" width="9" style="1"/>
  </cols>
  <sheetData>
    <row r="1" spans="1:4">
      <c r="A1" s="2" t="s">
        <v>0</v>
      </c>
      <c r="B1" s="2" t="s">
        <v>1</v>
      </c>
      <c r="C1" s="2" t="s">
        <v>2</v>
      </c>
      <c r="D1" s="1" t="s">
        <v>3</v>
      </c>
    </row>
    <row r="2" spans="1:5">
      <c r="A2" s="2">
        <v>1916</v>
      </c>
      <c r="B2" s="2" t="s">
        <v>12</v>
      </c>
      <c r="C2" s="2" t="s">
        <v>13</v>
      </c>
      <c r="D2" s="1" t="s">
        <v>14</v>
      </c>
      <c r="E2" s="3" t="s">
        <v>175</v>
      </c>
    </row>
    <row r="3" spans="1:5">
      <c r="A3" s="2">
        <v>1916</v>
      </c>
      <c r="B3" s="2" t="s">
        <v>12</v>
      </c>
      <c r="C3" s="2" t="s">
        <v>15</v>
      </c>
      <c r="D3" s="1" t="s">
        <v>16</v>
      </c>
      <c r="E3" s="3" t="s">
        <v>175</v>
      </c>
    </row>
    <row r="4" spans="1:5">
      <c r="A4" s="2">
        <v>1916</v>
      </c>
      <c r="B4" s="2" t="s">
        <v>12</v>
      </c>
      <c r="C4" s="2" t="s">
        <v>17</v>
      </c>
      <c r="D4" s="1" t="s">
        <v>18</v>
      </c>
      <c r="E4" s="3" t="s">
        <v>175</v>
      </c>
    </row>
    <row r="5" spans="1:5">
      <c r="A5" s="2">
        <v>1916</v>
      </c>
      <c r="B5" s="2" t="s">
        <v>12</v>
      </c>
      <c r="C5" s="2" t="s">
        <v>19</v>
      </c>
      <c r="D5" s="1" t="s">
        <v>20</v>
      </c>
      <c r="E5" s="3" t="s">
        <v>175</v>
      </c>
    </row>
    <row r="6" spans="1:5">
      <c r="A6" s="2">
        <v>1916</v>
      </c>
      <c r="B6" s="2" t="s">
        <v>12</v>
      </c>
      <c r="C6" s="2" t="s">
        <v>22</v>
      </c>
      <c r="D6" s="1" t="s">
        <v>23</v>
      </c>
      <c r="E6" s="3" t="s">
        <v>175</v>
      </c>
    </row>
    <row r="7" spans="1:5">
      <c r="A7" s="2">
        <v>1916</v>
      </c>
      <c r="B7" s="2" t="s">
        <v>12</v>
      </c>
      <c r="C7" s="2" t="s">
        <v>24</v>
      </c>
      <c r="D7" s="1" t="s">
        <v>25</v>
      </c>
      <c r="E7" s="3" t="s">
        <v>176</v>
      </c>
    </row>
    <row r="8" spans="1:5">
      <c r="A8" s="2">
        <v>1916</v>
      </c>
      <c r="B8" s="2" t="s">
        <v>12</v>
      </c>
      <c r="C8" s="2" t="s">
        <v>26</v>
      </c>
      <c r="D8" s="1" t="s">
        <v>27</v>
      </c>
      <c r="E8" s="3" t="s">
        <v>176</v>
      </c>
    </row>
    <row r="9" spans="1:5">
      <c r="A9" s="2">
        <v>1916</v>
      </c>
      <c r="B9" s="2" t="s">
        <v>12</v>
      </c>
      <c r="C9" s="2" t="s">
        <v>28</v>
      </c>
      <c r="D9" s="1" t="s">
        <v>29</v>
      </c>
      <c r="E9" s="3" t="s">
        <v>176</v>
      </c>
    </row>
    <row r="10" spans="1:5">
      <c r="A10" s="2">
        <v>1916</v>
      </c>
      <c r="B10" s="2" t="s">
        <v>12</v>
      </c>
      <c r="C10" s="2" t="s">
        <v>30</v>
      </c>
      <c r="D10" s="1" t="s">
        <v>31</v>
      </c>
      <c r="E10" s="3" t="s">
        <v>176</v>
      </c>
    </row>
    <row r="11" spans="1:5">
      <c r="A11" s="2">
        <v>1916</v>
      </c>
      <c r="B11" s="2" t="s">
        <v>12</v>
      </c>
      <c r="C11" s="2" t="s">
        <v>32</v>
      </c>
      <c r="D11" s="1" t="s">
        <v>33</v>
      </c>
      <c r="E11" s="3" t="s">
        <v>176</v>
      </c>
    </row>
    <row r="12" spans="1:5">
      <c r="A12" s="2">
        <v>1916</v>
      </c>
      <c r="B12" s="2" t="s">
        <v>12</v>
      </c>
      <c r="C12" s="2" t="s">
        <v>34</v>
      </c>
      <c r="D12" s="1" t="s">
        <v>35</v>
      </c>
      <c r="E12" s="3">
        <v>1234567</v>
      </c>
    </row>
    <row r="13" spans="1:5">
      <c r="A13" s="2">
        <v>1916</v>
      </c>
      <c r="B13" s="2" t="s">
        <v>12</v>
      </c>
      <c r="C13" s="2" t="s">
        <v>36</v>
      </c>
      <c r="D13" s="1" t="s">
        <v>37</v>
      </c>
      <c r="E13" s="3" t="s">
        <v>177</v>
      </c>
    </row>
    <row r="14" spans="1:5">
      <c r="A14" s="2">
        <v>1916</v>
      </c>
      <c r="B14" s="2" t="s">
        <v>12</v>
      </c>
      <c r="C14" s="2" t="s">
        <v>39</v>
      </c>
      <c r="D14" s="1" t="s">
        <v>40</v>
      </c>
      <c r="E14" s="3" t="s">
        <v>177</v>
      </c>
    </row>
    <row r="15" spans="1:5">
      <c r="A15" s="2">
        <v>1916</v>
      </c>
      <c r="B15" s="2" t="s">
        <v>12</v>
      </c>
      <c r="C15" s="2" t="s">
        <v>43</v>
      </c>
      <c r="D15" s="1" t="s">
        <v>44</v>
      </c>
      <c r="E15" s="3" t="s">
        <v>178</v>
      </c>
    </row>
    <row r="16" spans="1:5">
      <c r="A16" s="2">
        <v>1916</v>
      </c>
      <c r="B16" s="2" t="s">
        <v>12</v>
      </c>
      <c r="C16" s="2" t="s">
        <v>45</v>
      </c>
      <c r="D16" s="1" t="s">
        <v>46</v>
      </c>
      <c r="E16" s="3" t="s">
        <v>178</v>
      </c>
    </row>
    <row r="17" spans="1:5">
      <c r="A17" s="2">
        <v>1916</v>
      </c>
      <c r="B17" s="2" t="s">
        <v>12</v>
      </c>
      <c r="C17" s="2" t="s">
        <v>47</v>
      </c>
      <c r="D17" s="1" t="s">
        <v>48</v>
      </c>
      <c r="E17" s="3" t="s">
        <v>179</v>
      </c>
    </row>
    <row r="18" spans="1:5">
      <c r="A18" s="2">
        <v>1916</v>
      </c>
      <c r="B18" s="2" t="s">
        <v>12</v>
      </c>
      <c r="C18" s="2" t="s">
        <v>49</v>
      </c>
      <c r="D18" s="1" t="s">
        <v>50</v>
      </c>
      <c r="E18" s="3" t="s">
        <v>179</v>
      </c>
    </row>
    <row r="19" spans="5:5">
      <c r="E19" s="3"/>
    </row>
    <row r="20" spans="1:5">
      <c r="A20" s="2"/>
      <c r="B20" s="2"/>
      <c r="C20" s="2"/>
      <c r="D20" s="1"/>
      <c r="E20" s="3"/>
    </row>
    <row r="21" spans="1:5">
      <c r="A21" s="2">
        <v>1916</v>
      </c>
      <c r="B21" s="2" t="s">
        <v>51</v>
      </c>
      <c r="C21" s="2" t="s">
        <v>52</v>
      </c>
      <c r="D21" s="1" t="s">
        <v>53</v>
      </c>
      <c r="E21" s="3"/>
    </row>
    <row r="22" spans="1:5">
      <c r="A22" s="2">
        <v>1916</v>
      </c>
      <c r="B22" s="2" t="s">
        <v>51</v>
      </c>
      <c r="C22" s="2" t="s">
        <v>54</v>
      </c>
      <c r="D22" s="1" t="s">
        <v>55</v>
      </c>
      <c r="E22" s="3"/>
    </row>
    <row r="23" spans="1:5">
      <c r="A23" s="2">
        <v>1916</v>
      </c>
      <c r="B23" s="2" t="s">
        <v>51</v>
      </c>
      <c r="C23" s="2" t="s">
        <v>56</v>
      </c>
      <c r="D23" s="1" t="s">
        <v>57</v>
      </c>
      <c r="E23" s="3"/>
    </row>
    <row r="24" spans="1:5">
      <c r="A24" s="2">
        <v>1916</v>
      </c>
      <c r="B24" s="2" t="s">
        <v>51</v>
      </c>
      <c r="C24" s="2" t="s">
        <v>58</v>
      </c>
      <c r="D24" s="1" t="s">
        <v>59</v>
      </c>
      <c r="E24" s="3"/>
    </row>
    <row r="25" spans="1:5">
      <c r="A25" s="2">
        <v>1916</v>
      </c>
      <c r="B25" s="2" t="s">
        <v>51</v>
      </c>
      <c r="C25" s="1" t="s">
        <v>60</v>
      </c>
      <c r="D25" s="1" t="s">
        <v>61</v>
      </c>
      <c r="E25" s="3"/>
    </row>
    <row r="26" spans="1:5">
      <c r="A26" s="2">
        <v>1916</v>
      </c>
      <c r="B26" s="2" t="s">
        <v>51</v>
      </c>
      <c r="C26" s="1" t="s">
        <v>62</v>
      </c>
      <c r="D26" s="1" t="s">
        <v>63</v>
      </c>
      <c r="E26" s="3"/>
    </row>
    <row r="27" spans="1:5">
      <c r="A27" s="2">
        <v>1916</v>
      </c>
      <c r="B27" s="2" t="s">
        <v>51</v>
      </c>
      <c r="C27" s="1" t="s">
        <v>64</v>
      </c>
      <c r="D27" s="1" t="s">
        <v>65</v>
      </c>
      <c r="E27" s="3"/>
    </row>
    <row r="28" spans="1:5">
      <c r="A28" s="2">
        <v>1916</v>
      </c>
      <c r="B28" s="2" t="s">
        <v>51</v>
      </c>
      <c r="C28" s="1" t="s">
        <v>66</v>
      </c>
      <c r="D28" s="1" t="s">
        <v>67</v>
      </c>
      <c r="E28" s="3"/>
    </row>
    <row r="29" spans="1:5">
      <c r="A29" s="2">
        <v>1916</v>
      </c>
      <c r="B29" s="2" t="s">
        <v>51</v>
      </c>
      <c r="C29" s="1" t="s">
        <v>68</v>
      </c>
      <c r="D29" s="1" t="s">
        <v>69</v>
      </c>
      <c r="E29" s="3"/>
    </row>
    <row r="30" spans="1:5">
      <c r="A30" s="2">
        <v>1916</v>
      </c>
      <c r="B30" s="2" t="s">
        <v>51</v>
      </c>
      <c r="C30" s="1" t="s">
        <v>70</v>
      </c>
      <c r="D30" s="1" t="s">
        <v>71</v>
      </c>
      <c r="E30" s="3"/>
    </row>
    <row r="31" spans="5:5">
      <c r="E31" s="3" t="s">
        <v>180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Hull</vt:lpstr>
      <vt:lpstr>Armor</vt:lpstr>
      <vt:lpstr>Turret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</cp:lastModifiedBy>
  <dcterms:created xsi:type="dcterms:W3CDTF">2023-05-12T11:15:00Z</dcterms:created>
  <dcterms:modified xsi:type="dcterms:W3CDTF">2026-05-21T16:52:14Z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EE37E6A6F68841AB8FD1F70695AB81FC_12</vt:lpwstr>
  </property>
</Properties>
</file>