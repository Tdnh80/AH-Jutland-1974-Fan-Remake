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olors1.xml" ContentType="application/vnd.ms-office.chartcolorstyle+xml"/>
  <Override PartName="/xl/charts/style1.xml" ContentType="application/vnd.ms-office.chartstyle+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7945" windowHeight="12960" activeTab="1"/>
  </bookViews>
  <sheets>
    <sheet name="Shells" sheetId="1" r:id="rId1"/>
    <sheet name="Trajectory" sheetId="2" r:id="rId2"/>
    <sheet name="Hit_Rate" sheetId="3" r:id="rId3"/>
  </sheets>
  <definedNames>
    <definedName name="_xlnm._FilterDatabase" localSheetId="0" hidden="1">Shells!$A$1:$F$21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<sst xmlns="http://schemas.openxmlformats.org/spreadsheetml/2006/main" count="330" uniqueCount="153">
  <si>
    <t>年份</t>
  </si>
  <si>
    <t>国家</t>
  </si>
  <si>
    <t>级别</t>
  </si>
  <si>
    <t>主炮型号</t>
  </si>
  <si>
    <t>炮弹名</t>
  </si>
  <si>
    <t>破坏力是1kg的倍数</t>
  </si>
  <si>
    <t>弹重 (kg)</t>
  </si>
  <si>
    <t>弹重（lb）</t>
  </si>
  <si>
    <t>单炮装药 (kg)</t>
  </si>
  <si>
    <t>单炮装药平方</t>
  </si>
  <si>
    <t>破坏力-28cmF4</t>
  </si>
  <si>
    <t>弹重-28cmF4</t>
  </si>
  <si>
    <t>装药-28cmF4</t>
  </si>
  <si>
    <t>伤害-main</t>
  </si>
  <si>
    <t>伤害-sec</t>
  </si>
  <si>
    <t>伤害-non</t>
  </si>
  <si>
    <t>英国</t>
  </si>
  <si>
    <t>无畏、珀勒洛丰、不倦、无敌</t>
  </si>
  <si>
    <t>12"/45 (30.5 cm) Mark X</t>
  </si>
  <si>
    <t>APC Mark VIa (4crh)</t>
  </si>
  <si>
    <t>圣文森特、海王星、巨像</t>
  </si>
  <si>
    <t>12"/50 (30.5 cm) Marks XI, XI* and XII</t>
  </si>
  <si>
    <t>玛丽女王、虎、乔治五世、爱尔兰、铁公爵</t>
  </si>
  <si>
    <t>13.5"/45 (34.3 cm) Mark V(H)</t>
  </si>
  <si>
    <t>APC Mark Ia</t>
  </si>
  <si>
    <t>猎户座、狮</t>
  </si>
  <si>
    <t>13.5"/45 (34.3 cm) Mark V(L)</t>
  </si>
  <si>
    <t>APC Mark IIa</t>
  </si>
  <si>
    <t>英国8门15寸舰一战</t>
  </si>
  <si>
    <t>15"/42 (38.1 cm) Mark I</t>
  </si>
  <si>
    <t>APC Mark Ia (4crh)</t>
  </si>
  <si>
    <t>加拿大</t>
  </si>
  <si>
    <t>14"/45 (35.6 cm) Mark I</t>
  </si>
  <si>
    <t>阿金库尔</t>
  </si>
  <si>
    <t>12"/45 (30.5 cm) Elswick Pattern L</t>
  </si>
  <si>
    <t>APC Mark VI (2crh)</t>
  </si>
  <si>
    <t>德国</t>
  </si>
  <si>
    <t>拿骚、冯·德·坦恩</t>
  </si>
  <si>
    <t>28 cm/45 (11") SK L/45</t>
  </si>
  <si>
    <t>APC L/3,2</t>
  </si>
  <si>
    <t>毛奇、赛德利茨</t>
  </si>
  <si>
    <t>28 cm/50 (11") SK L/50</t>
  </si>
  <si>
    <t>赫尔戈兰、凯撒、国王、德弗林格尔</t>
  </si>
  <si>
    <t>30.5 cm/50 (12") SK L/50</t>
  </si>
  <si>
    <t>APC L/3,4</t>
  </si>
  <si>
    <t>马肯森</t>
  </si>
  <si>
    <t>35 cm/45 (13.78") SK L/45</t>
  </si>
  <si>
    <t>APC L/3,6</t>
  </si>
  <si>
    <t>拜仁、约克代舰</t>
  </si>
  <si>
    <t>38 cm/45 (14.96") SK L/45</t>
  </si>
  <si>
    <t>APC L/3,5</t>
  </si>
  <si>
    <t>APC Mark VIIa (Greenboy)</t>
  </si>
  <si>
    <t>APC Mark IIIa (Greenboy)</t>
  </si>
  <si>
    <t>APC Mark IVa (Greenboy)</t>
  </si>
  <si>
    <t>APC 8/16crh</t>
  </si>
  <si>
    <t>APC Mark IIIa (4crh - Greenboy)</t>
  </si>
  <si>
    <t>https://tieba.baidu.com/p/7873575541</t>
  </si>
  <si>
    <t>final?</t>
  </si>
  <si>
    <t>火炮型号</t>
  </si>
  <si>
    <t>弹种</t>
  </si>
  <si>
    <t>射速（PRM）</t>
  </si>
  <si>
    <t>距离（码）</t>
  </si>
  <si>
    <t>落弹角</t>
  </si>
  <si>
    <t>穿深</t>
  </si>
  <si>
    <t>角度</t>
  </si>
  <si>
    <t>备注</t>
  </si>
  <si>
    <t>拟合，距离（码）-落弹角</t>
  </si>
  <si>
    <t>距离</t>
  </si>
  <si>
    <t>拟合，距离（码）-穿深</t>
  </si>
  <si>
    <t>1-2</t>
  </si>
  <si>
    <t>验收</t>
  </si>
  <si>
    <t>y = 9E-08 x^2 - 3E-05 x + 0.6157</t>
  </si>
  <si>
    <t>y = 520.54e-8E-05x</t>
  </si>
  <si>
    <t>0-6000</t>
  </si>
  <si>
    <t>6000-8000</t>
  </si>
  <si>
    <t>8000-10000</t>
  </si>
  <si>
    <t>10000-12000</t>
  </si>
  <si>
    <t>无被帽</t>
  </si>
  <si>
    <t>y = 5E-08 x^2 + 2E-05 x + 0.9214</t>
  </si>
  <si>
    <t>y = 554.38e-7E-05x</t>
  </si>
  <si>
    <t>0-8000</t>
  </si>
  <si>
    <t>12"/45 (30.5 cm) Mark XIII</t>
  </si>
  <si>
    <t>玛丽女王、虎、乔治五世、铁公爵</t>
  </si>
  <si>
    <t>1.5-2</t>
  </si>
  <si>
    <t>y = 4E-08 x^2 + 0.0002 x + 0.4418</t>
  </si>
  <si>
    <t>y = 427.86e-2E-05x</t>
  </si>
  <si>
    <t>爱尔兰</t>
  </si>
  <si>
    <t>13.5"/45 (34.3 cm) Mark VI(H)</t>
  </si>
  <si>
    <t>y = 4E-08 x^2 + 0.0002 x + 0.4718</t>
  </si>
  <si>
    <t>y = 432.14e-3E-05x</t>
  </si>
  <si>
    <t>y = 4E-08 x^2 + 0.0003 x + 0.4534</t>
  </si>
  <si>
    <t>1.75-2</t>
  </si>
  <si>
    <t>y = 4E-08 x^2 + 0.0003 x + 0.3509</t>
  </si>
  <si>
    <t>y = 480.13e-3E-05x</t>
  </si>
  <si>
    <t>20980m</t>
  </si>
  <si>
    <t>6100m</t>
  </si>
  <si>
    <t>y = 7E-08x2 - 0.0001x + 1.4152</t>
  </si>
  <si>
    <t>档案</t>
  </si>
  <si>
    <t>10000m</t>
  </si>
  <si>
    <t>Side Armor</t>
  </si>
  <si>
    <t>12000m</t>
  </si>
  <si>
    <t>19670m</t>
  </si>
  <si>
    <t>档案曲线</t>
  </si>
  <si>
    <t>y = 6.5E-08x2 -
 5e-5x + 1.25</t>
  </si>
  <si>
    <t>11100m</t>
  </si>
  <si>
    <t>10800m</t>
  </si>
  <si>
    <t>2-3</t>
  </si>
  <si>
    <t>20900m</t>
  </si>
  <si>
    <t>y = 5E-08x2 + 4E-05x + 0.9173</t>
  </si>
  <si>
    <t>11700m</t>
  </si>
  <si>
    <t>10100m</t>
  </si>
  <si>
    <t>8700m</t>
  </si>
  <si>
    <t>7300m</t>
  </si>
  <si>
    <t>12800m</t>
  </si>
  <si>
    <t>15000m</t>
  </si>
  <si>
    <t>20250m</t>
  </si>
  <si>
    <t>y = 4E-08x2 + 0.0002x + 0.6048</t>
  </si>
  <si>
    <t>9400m</t>
  </si>
  <si>
    <t>12500m</t>
  </si>
  <si>
    <t>20000m</t>
  </si>
  <si>
    <t>25000m</t>
  </si>
  <si>
    <t>https://www.warship1.cn/forum.php?mod=viewthread&amp;tid=7423</t>
  </si>
  <si>
    <t>http://www.navweaps.com/</t>
  </si>
  <si>
    <t>https://www.warship1.cn/thread-6042-1-1.html</t>
  </si>
  <si>
    <t>DNO Rear-Admiral A.G.H.W. Moore summarized Ordnance Board remarks regarding armor penetration in a "Memorandum to the Controller" dated 24 October 1910. In this Memorandum it was stated that 12 inch (30.5 cm) APC shells striking at any angle over 20 degrees were unlikely to penetrate even 4 inches (10.2 cm) of KC armor (face hardened) and were likely to breakup at angles of 30 degrees when striking 6 inches (15.2 cm) of KC armor.
Thus, it can be seen that the poor performance of British shells at Jutland (Skagerrak) cannot have been a surprise to the Royal Navy. Remarkably, the memo does not suggest that the shells be improved, but instead urges that these thicknesses of armor be considered for future ship designs, as if it was expected that enemy shells would perform as poorly as did their own.
Quoting from the Memorandum as detailed in "Battlecruisers" by John Roberts:
"From the trials with AP shell with cap so far carried out by the Ordnance Board against KC armour, it is clear that when striking at angles greater than 20deg to the normal there is very little chance of any AP shell in the service carrying its burster through such armour at any fighting range, as the shell would break up in passing through the armour. Generally speaking[,] capped AP shell, even when filled with salt, may be expected to beak up when striking KC armour of half caliber thickness at 30deg to the normal.
"It is submitted that this tendency of AP shell to break up at angles over 20deg to the normal may be an important factor in determining the distribution of armour in future ships as when AP shell, filled Lyditte, break up on striking such armour [and an] explosion and not [a] detonation takes place with very much smaller all-round effect . . ." [ellipsis in original]</t>
  </si>
  <si>
    <t>GB：A capped shell (APC) would show about 10 to 20% improvement at low velocities and about 30 to 50% improvement at high velocities.</t>
  </si>
  <si>
    <t>命中率</t>
  </si>
  <si>
    <t>UK</t>
  </si>
  <si>
    <t>GE</t>
  </si>
  <si>
    <t>目标规避机动、大幅转向（英）</t>
  </si>
  <si>
    <t>小于等于</t>
  </si>
  <si>
    <t>目标规避机动、大幅转向（德）</t>
  </si>
  <si>
    <t>我舰规避机动、大幅转向</t>
  </si>
  <si>
    <t>双方规避机动、大幅转向</t>
  </si>
  <si>
    <t>对目标纵射</t>
  </si>
  <si>
    <t>我舰纵射</t>
  </si>
  <si>
    <t>我舰被射击</t>
  </si>
  <si>
    <t>目标背光</t>
  </si>
  <si>
    <t>两艘集火</t>
  </si>
  <si>
    <t>三+集火</t>
  </si>
  <si>
    <t>疲劳（德）</t>
  </si>
  <si>
    <t>缺乏训练（BCF）</t>
  </si>
  <si>
    <t>低火控</t>
  </si>
  <si>
    <t>优火控</t>
  </si>
  <si>
    <t>烟雾射击（英）</t>
  </si>
  <si>
    <t>烟雾射击（德）</t>
  </si>
  <si>
    <t>黑夜射击(英）</t>
  </si>
  <si>
    <t>黑夜射击（德）</t>
  </si>
  <si>
    <t>至少：0%</t>
  </si>
  <si>
    <t>https://www.warship1.cn/thread-7495-1-1.html</t>
  </si>
  <si>
    <t>https://www.warship1.cn/thread-7500-1-1.html</t>
  </si>
  <si>
    <t>http://www.navweaps.com/index_inro/INRO_BB-Gunnery.php</t>
  </si>
  <si>
    <t>https://www.warship1.cn/thread-7451-1-1.html</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</si>
</sst>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 "/>
    <numFmt numFmtId="177" formatCode="0.000_ "/>
  </numFmts>
  <fonts count="25">
    <font>
      <sz val="12"/>
      <color theme="1"/>
      <name val="宋体"/>
      <charset val="134"/>
      <scheme val="minor"/>
    </font>
    <font>
      <sz val="12"/>
      <color rgb="FFFF0000"/>
      <name val="宋体"/>
      <charset val="134"/>
      <scheme val="minor"/>
    </font>
    <font>
      <u/>
      <sz val="11"/>
      <color rgb="FF0000FF"/>
      <name val="宋体"/>
      <charset val="0"/>
      <scheme val="minor"/>
    </font>
    <font>
      <sz val="12"/>
      <color rgb="FF000000"/>
      <name val="宋体"/>
      <charset val="134"/>
    </font>
    <font>
      <sz val="11"/>
      <color theme="1"/>
      <name val="宋体"/>
      <charset val="134"/>
    </font>
    <font>
      <u/>
      <sz val="11"/>
      <color rgb="FF800080"/>
      <name val="宋体"/>
      <charset val="0"/>
      <scheme val="minor"/>
    </font>
    <font>
      <u/>
      <sz val="11"/>
      <color rgb="FF800080"/>
      <name val="宋体"/>
      <charset val="0"/>
    </font>
    <font>
      <sz val="11"/>
      <color theme="1"/>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theme="0" tint="-0.0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right/>
      <top style="thin">
        <color auto="1"/>
      </top>
      <bottom/>
      <diagonal/>
    </border>
    <border>
      <left/>
      <right/>
      <top/>
      <bottom style="thin">
        <color auto="1"/>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7" fillId="0" borderId="0" applyFont="0" applyFill="0" applyBorder="0" applyAlignment="0" applyProtection="0">
      <alignment vertical="center"/>
    </xf>
    <xf numFmtId="44" fontId="7" fillId="0" borderId="0" applyFont="0" applyFill="0" applyBorder="0" applyAlignment="0" applyProtection="0">
      <alignment vertical="center"/>
    </xf>
    <xf numFmtId="9" fontId="7" fillId="0" borderId="0" applyFont="0" applyFill="0" applyBorder="0" applyAlignment="0" applyProtection="0">
      <alignment vertical="center"/>
    </xf>
    <xf numFmtId="41" fontId="7" fillId="0" borderId="0" applyFont="0" applyFill="0" applyBorder="0" applyAlignment="0" applyProtection="0">
      <alignment vertical="center"/>
    </xf>
    <xf numFmtId="42" fontId="7" fillId="0" borderId="0" applyFont="0" applyFill="0" applyBorder="0" applyAlignment="0" applyProtection="0">
      <alignment vertical="center"/>
    </xf>
    <xf numFmtId="0" fontId="2"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7" fillId="3" borderId="7"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8" applyNumberFormat="0" applyFill="0" applyAlignment="0" applyProtection="0">
      <alignment vertical="center"/>
    </xf>
    <xf numFmtId="0" fontId="12" fillId="0" borderId="8" applyNumberFormat="0" applyFill="0" applyAlignment="0" applyProtection="0">
      <alignment vertical="center"/>
    </xf>
    <xf numFmtId="0" fontId="13" fillId="0" borderId="9" applyNumberFormat="0" applyFill="0" applyAlignment="0" applyProtection="0">
      <alignment vertical="center"/>
    </xf>
    <xf numFmtId="0" fontId="13" fillId="0" borderId="0" applyNumberFormat="0" applyFill="0" applyBorder="0" applyAlignment="0" applyProtection="0">
      <alignment vertical="center"/>
    </xf>
    <xf numFmtId="0" fontId="14" fillId="4" borderId="10" applyNumberFormat="0" applyAlignment="0" applyProtection="0">
      <alignment vertical="center"/>
    </xf>
    <xf numFmtId="0" fontId="15" fillId="5" borderId="11" applyNumberFormat="0" applyAlignment="0" applyProtection="0">
      <alignment vertical="center"/>
    </xf>
    <xf numFmtId="0" fontId="16" fillId="5" borderId="10" applyNumberFormat="0" applyAlignment="0" applyProtection="0">
      <alignment vertical="center"/>
    </xf>
    <xf numFmtId="0" fontId="17" fillId="6" borderId="12" applyNumberFormat="0" applyAlignment="0" applyProtection="0">
      <alignment vertical="center"/>
    </xf>
    <xf numFmtId="0" fontId="18" fillId="0" borderId="13" applyNumberFormat="0" applyFill="0" applyAlignment="0" applyProtection="0">
      <alignment vertical="center"/>
    </xf>
    <xf numFmtId="0" fontId="19" fillId="0" borderId="14" applyNumberFormat="0" applyFill="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4" fillId="12" borderId="0" applyNumberFormat="0" applyBorder="0" applyAlignment="0" applyProtection="0">
      <alignment vertical="center"/>
    </xf>
    <xf numFmtId="0" fontId="23" fillId="13" borderId="0" applyNumberFormat="0" applyBorder="0" applyAlignment="0" applyProtection="0">
      <alignment vertical="center"/>
    </xf>
    <xf numFmtId="0" fontId="23" fillId="14" borderId="0" applyNumberFormat="0" applyBorder="0" applyAlignment="0" applyProtection="0">
      <alignment vertical="center"/>
    </xf>
    <xf numFmtId="0" fontId="24" fillId="15" borderId="0" applyNumberFormat="0" applyBorder="0" applyAlignment="0" applyProtection="0">
      <alignment vertical="center"/>
    </xf>
    <xf numFmtId="0" fontId="24" fillId="16" borderId="0" applyNumberFormat="0" applyBorder="0" applyAlignment="0" applyProtection="0">
      <alignment vertical="center"/>
    </xf>
    <xf numFmtId="0" fontId="23" fillId="17" borderId="0" applyNumberFormat="0" applyBorder="0" applyAlignment="0" applyProtection="0">
      <alignment vertical="center"/>
    </xf>
    <xf numFmtId="0" fontId="23" fillId="18" borderId="0" applyNumberFormat="0" applyBorder="0" applyAlignment="0" applyProtection="0">
      <alignment vertical="center"/>
    </xf>
    <xf numFmtId="0" fontId="24" fillId="19" borderId="0" applyNumberFormat="0" applyBorder="0" applyAlignment="0" applyProtection="0">
      <alignment vertical="center"/>
    </xf>
    <xf numFmtId="0" fontId="24" fillId="20"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24" fillId="23" borderId="0" applyNumberFormat="0" applyBorder="0" applyAlignment="0" applyProtection="0">
      <alignment vertical="center"/>
    </xf>
    <xf numFmtId="0" fontId="24" fillId="24" borderId="0" applyNumberFormat="0" applyBorder="0" applyAlignment="0" applyProtection="0">
      <alignment vertical="center"/>
    </xf>
    <xf numFmtId="0" fontId="23" fillId="25" borderId="0" applyNumberFormat="0" applyBorder="0" applyAlignment="0" applyProtection="0">
      <alignment vertical="center"/>
    </xf>
    <xf numFmtId="0" fontId="23" fillId="26" borderId="0" applyNumberFormat="0" applyBorder="0" applyAlignment="0" applyProtection="0">
      <alignment vertical="center"/>
    </xf>
    <xf numFmtId="0" fontId="24" fillId="27" borderId="0" applyNumberFormat="0" applyBorder="0" applyAlignment="0" applyProtection="0">
      <alignment vertical="center"/>
    </xf>
    <xf numFmtId="0" fontId="24" fillId="28"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4" fillId="31" borderId="0" applyNumberFormat="0" applyBorder="0" applyAlignment="0" applyProtection="0">
      <alignment vertical="center"/>
    </xf>
    <xf numFmtId="0" fontId="24" fillId="32" borderId="0" applyNumberFormat="0" applyBorder="0" applyAlignment="0" applyProtection="0">
      <alignment vertical="center"/>
    </xf>
    <xf numFmtId="0" fontId="23" fillId="33" borderId="0" applyNumberFormat="0" applyBorder="0" applyAlignment="0" applyProtection="0">
      <alignment vertical="center"/>
    </xf>
  </cellStyleXfs>
  <cellXfs count="50">
    <xf numFmtId="0" fontId="0" fillId="0" borderId="0" xfId="0" applyNumberFormat="1"/>
    <xf numFmtId="0" fontId="0" fillId="0" borderId="0" xfId="0" applyNumberFormat="1" applyAlignment="1">
      <alignment horizontal="center"/>
    </xf>
    <xf numFmtId="0" fontId="1" fillId="0" borderId="0" xfId="0" applyNumberFormat="1" applyFont="1"/>
    <xf numFmtId="0" fontId="0" fillId="0" borderId="0" xfId="0" applyNumberFormat="1" applyAlignment="1">
      <alignment wrapText="1"/>
    </xf>
    <xf numFmtId="0" fontId="1" fillId="0" borderId="0" xfId="0" applyNumberFormat="1" applyFont="1" applyAlignment="1">
      <alignment horizontal="center"/>
    </xf>
    <xf numFmtId="176" fontId="0" fillId="0" borderId="0" xfId="0" applyNumberFormat="1"/>
    <xf numFmtId="0" fontId="2" fillId="0" borderId="0" xfId="6" applyNumberFormat="1" applyAlignment="1">
      <alignment horizontal="center"/>
    </xf>
    <xf numFmtId="9" fontId="0" fillId="0" borderId="0" xfId="0" applyNumberFormat="1"/>
    <xf numFmtId="0" fontId="3" fillId="0" borderId="0" xfId="0" applyFont="1" applyFill="1" applyBorder="1" applyAlignment="1">
      <alignment vertical="center"/>
    </xf>
    <xf numFmtId="0" fontId="4" fillId="0" borderId="0" xfId="0" applyFont="1" applyFill="1" applyBorder="1" applyAlignment="1">
      <alignment vertical="center"/>
    </xf>
    <xf numFmtId="0" fontId="3" fillId="0" borderId="0" xfId="0" applyFont="1" applyFill="1" applyAlignment="1">
      <alignment vertical="center"/>
    </xf>
    <xf numFmtId="0" fontId="3" fillId="0" borderId="0" xfId="0" applyNumberFormat="1" applyFont="1" applyFill="1" applyAlignment="1">
      <alignment horizontal="right" vertical="center"/>
    </xf>
    <xf numFmtId="0" fontId="3" fillId="0" borderId="0" xfId="0" applyFont="1" applyFill="1" applyAlignment="1">
      <alignment horizontal="right" vertical="center"/>
    </xf>
    <xf numFmtId="0" fontId="3" fillId="0" borderId="1" xfId="0" applyFont="1" applyFill="1" applyBorder="1" applyAlignment="1">
      <alignment vertical="center"/>
    </xf>
    <xf numFmtId="49" fontId="3" fillId="0" borderId="1" xfId="0" applyNumberFormat="1" applyFont="1" applyFill="1" applyBorder="1" applyAlignment="1">
      <alignment horizontal="right" vertical="center"/>
    </xf>
    <xf numFmtId="0" fontId="3" fillId="0" borderId="1" xfId="0" applyFont="1" applyFill="1" applyBorder="1" applyAlignment="1">
      <alignment horizontal="right" vertical="center"/>
    </xf>
    <xf numFmtId="0" fontId="3" fillId="0" borderId="0" xfId="0" applyNumberFormat="1" applyFont="1" applyFill="1" applyBorder="1" applyAlignment="1">
      <alignment horizontal="right" vertical="center"/>
    </xf>
    <xf numFmtId="0" fontId="3" fillId="0" borderId="0" xfId="0" applyFont="1" applyFill="1" applyBorder="1" applyAlignment="1">
      <alignment horizontal="right" vertical="center"/>
    </xf>
    <xf numFmtId="49" fontId="3" fillId="0" borderId="0" xfId="0" applyNumberFormat="1" applyFont="1" applyFill="1" applyAlignment="1">
      <alignment horizontal="right" vertical="center"/>
    </xf>
    <xf numFmtId="0" fontId="3" fillId="0" borderId="2" xfId="0" applyFont="1" applyFill="1" applyBorder="1" applyAlignment="1">
      <alignment vertical="center"/>
    </xf>
    <xf numFmtId="49" fontId="3" fillId="0" borderId="2" xfId="0" applyNumberFormat="1" applyFont="1" applyFill="1" applyBorder="1" applyAlignment="1">
      <alignment horizontal="right" vertical="center"/>
    </xf>
    <xf numFmtId="0" fontId="3" fillId="0" borderId="2" xfId="0" applyFont="1" applyFill="1" applyBorder="1" applyAlignment="1">
      <alignment horizontal="right" vertical="center"/>
    </xf>
    <xf numFmtId="49" fontId="3" fillId="0" borderId="0" xfId="0" applyNumberFormat="1" applyFont="1" applyFill="1" applyBorder="1" applyAlignment="1">
      <alignment horizontal="right" vertical="center"/>
    </xf>
    <xf numFmtId="0" fontId="3" fillId="0" borderId="0" xfId="3" applyNumberFormat="1" applyFont="1" applyAlignment="1">
      <alignment horizontal="right" vertical="center"/>
    </xf>
    <xf numFmtId="0" fontId="3" fillId="0" borderId="2" xfId="0" applyNumberFormat="1" applyFont="1" applyFill="1" applyBorder="1" applyAlignment="1">
      <alignment horizontal="right" vertical="center"/>
    </xf>
    <xf numFmtId="0" fontId="3" fillId="0" borderId="1" xfId="0" applyNumberFormat="1" applyFont="1" applyFill="1" applyBorder="1" applyAlignment="1">
      <alignment horizontal="right" vertical="center"/>
    </xf>
    <xf numFmtId="176" fontId="3" fillId="0" borderId="0" xfId="0" applyNumberFormat="1" applyFont="1" applyFill="1" applyAlignment="1">
      <alignment horizontal="right" vertical="center"/>
    </xf>
    <xf numFmtId="0" fontId="3" fillId="0" borderId="3" xfId="0" applyFont="1" applyFill="1" applyBorder="1" applyAlignment="1">
      <alignment horizontal="right" vertical="center"/>
    </xf>
    <xf numFmtId="0" fontId="3" fillId="0" borderId="0" xfId="0" applyFont="1" applyFill="1" applyAlignment="1">
      <alignment horizontal="center" vertical="center" wrapText="1"/>
    </xf>
    <xf numFmtId="177" fontId="3" fillId="0" borderId="0" xfId="0" applyNumberFormat="1" applyFont="1" applyFill="1" applyBorder="1" applyAlignment="1">
      <alignment horizontal="right" vertical="center"/>
    </xf>
    <xf numFmtId="0" fontId="3" fillId="0" borderId="4" xfId="0" applyFont="1" applyFill="1" applyBorder="1" applyAlignment="1">
      <alignment horizontal="right" vertical="center"/>
    </xf>
    <xf numFmtId="0" fontId="3" fillId="0" borderId="5" xfId="0" applyFont="1" applyFill="1" applyBorder="1" applyAlignment="1">
      <alignment horizontal="right" vertical="center"/>
    </xf>
    <xf numFmtId="0" fontId="3" fillId="0" borderId="0" xfId="0" applyFont="1" applyFill="1" applyAlignment="1">
      <alignment horizontal="center" vertical="center"/>
    </xf>
    <xf numFmtId="0" fontId="3" fillId="0" borderId="5" xfId="0" applyFont="1" applyFill="1" applyBorder="1" applyAlignment="1">
      <alignment vertical="center"/>
    </xf>
    <xf numFmtId="0" fontId="5" fillId="0" borderId="0" xfId="6" applyFont="1" applyFill="1" applyAlignment="1">
      <alignment horizontal="center" vertical="center"/>
    </xf>
    <xf numFmtId="0" fontId="2" fillId="0" borderId="0" xfId="6" applyAlignment="1">
      <alignment horizontal="center" vertical="center" wrapText="1"/>
    </xf>
    <xf numFmtId="0" fontId="6" fillId="0" borderId="0" xfId="6" applyFont="1" applyFill="1" applyAlignment="1">
      <alignment horizontal="center" vertical="center" wrapText="1"/>
    </xf>
    <xf numFmtId="0" fontId="2" fillId="0" borderId="0" xfId="6" applyFill="1" applyAlignment="1">
      <alignment horizontal="center" vertical="center" wrapText="1"/>
    </xf>
    <xf numFmtId="0" fontId="0" fillId="0" borderId="0" xfId="0"/>
    <xf numFmtId="0" fontId="4" fillId="0" borderId="0" xfId="0" applyFont="1" applyFill="1" applyBorder="1" applyAlignment="1">
      <alignment horizontal="right" vertical="center"/>
    </xf>
    <xf numFmtId="177" fontId="4" fillId="0" borderId="0" xfId="0" applyNumberFormat="1" applyFont="1" applyFill="1" applyBorder="1" applyAlignment="1">
      <alignment horizontal="right" vertical="center"/>
    </xf>
    <xf numFmtId="0" fontId="0" fillId="0" borderId="0" xfId="0" applyNumberFormat="1" applyFill="1"/>
    <xf numFmtId="0" fontId="0" fillId="0" borderId="0" xfId="0" applyNumberFormat="1" applyFill="1" applyBorder="1"/>
    <xf numFmtId="0" fontId="0" fillId="0" borderId="0" xfId="0" applyNumberFormat="1" applyBorder="1"/>
    <xf numFmtId="0" fontId="0" fillId="0" borderId="6" xfId="0" applyNumberFormat="1" applyFill="1" applyBorder="1"/>
    <xf numFmtId="0" fontId="0" fillId="0" borderId="6" xfId="0" applyNumberFormat="1" applyFont="1" applyFill="1" applyBorder="1" applyAlignment="1"/>
    <xf numFmtId="0" fontId="0" fillId="2" borderId="6" xfId="0" applyNumberFormat="1" applyFill="1" applyBorder="1"/>
    <xf numFmtId="0" fontId="0" fillId="2" borderId="6" xfId="0" applyNumberFormat="1" applyFont="1" applyFill="1" applyBorder="1" applyAlignment="1"/>
    <xf numFmtId="0" fontId="2" fillId="0" borderId="0" xfId="6" applyNumberFormat="1" applyAlignment="1">
      <alignment horizontal="center" vertical="center"/>
    </xf>
    <xf numFmtId="0" fontId="0" fillId="0" borderId="0" xfId="0" applyNumberForma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Medium4"/>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0" vertOverflow="ellipsis" vert="horz" wrap="square" anchor="ctr" anchorCtr="1"/>
        <a:lstStyle/>
        <a:p>
          <a:pPr>
            <a:defRPr lang="zh-CN" sz="1400" b="1" i="0" u="none" strike="noStrike" kern="1200" baseline="0">
              <a:solidFill>
                <a:schemeClr val="tx1">
                  <a:lumMod val="75000"/>
                  <a:lumOff val="25000"/>
                </a:schemeClr>
              </a:solidFill>
              <a:latin typeface="+mn-lt"/>
              <a:ea typeface="+mn-ea"/>
              <a:cs typeface="+mn-cs"/>
            </a:defRPr>
          </a:pPr>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dLbls>
            <c:delete val="1"/>
          </c:dLbls>
          <c:xVal>
            <c:numRef>
              <c:f>Hit_Rate!$A$2:$A$25</c:f>
              <c:numCache>
                <c:formatCode>General</c:formatCode>
                <c:ptCount val="24"/>
                <c:pt idx="0">
                  <c:v>2000</c:v>
                </c:pt>
                <c:pt idx="1">
                  <c:v>3000</c:v>
                </c:pt>
                <c:pt idx="2">
                  <c:v>4000</c:v>
                </c:pt>
                <c:pt idx="3">
                  <c:v>5000</c:v>
                </c:pt>
                <c:pt idx="4">
                  <c:v>6000</c:v>
                </c:pt>
                <c:pt idx="5">
                  <c:v>7000</c:v>
                </c:pt>
                <c:pt idx="6">
                  <c:v>8000</c:v>
                </c:pt>
                <c:pt idx="7">
                  <c:v>9000</c:v>
                </c:pt>
                <c:pt idx="8">
                  <c:v>10000</c:v>
                </c:pt>
                <c:pt idx="9">
                  <c:v>11000</c:v>
                </c:pt>
                <c:pt idx="10">
                  <c:v>12000</c:v>
                </c:pt>
                <c:pt idx="11">
                  <c:v>13000</c:v>
                </c:pt>
                <c:pt idx="12">
                  <c:v>14000</c:v>
                </c:pt>
                <c:pt idx="13">
                  <c:v>15000</c:v>
                </c:pt>
                <c:pt idx="14">
                  <c:v>16000</c:v>
                </c:pt>
                <c:pt idx="15">
                  <c:v>17000</c:v>
                </c:pt>
                <c:pt idx="16">
                  <c:v>18000</c:v>
                </c:pt>
                <c:pt idx="17">
                  <c:v>19000</c:v>
                </c:pt>
                <c:pt idx="18">
                  <c:v>20000</c:v>
                </c:pt>
                <c:pt idx="19">
                  <c:v>21000</c:v>
                </c:pt>
                <c:pt idx="20">
                  <c:v>22000</c:v>
                </c:pt>
                <c:pt idx="21">
                  <c:v>23000</c:v>
                </c:pt>
                <c:pt idx="22">
                  <c:v>24000</c:v>
                </c:pt>
                <c:pt idx="23">
                  <c:v>25000</c:v>
                </c:pt>
              </c:numCache>
            </c:numRef>
          </c:xVal>
          <c:yVal>
            <c:numRef>
              <c:f>Hit_Rate!$D$2:$D$25</c:f>
              <c:numCache>
                <c:formatCode>General</c:formatCode>
                <c:ptCount val="24"/>
                <c:pt idx="0">
                  <c:v>53</c:v>
                </c:pt>
                <c:pt idx="1">
                  <c:v>41</c:v>
                </c:pt>
                <c:pt idx="2">
                  <c:v>31</c:v>
                </c:pt>
                <c:pt idx="3">
                  <c:v>23</c:v>
                </c:pt>
                <c:pt idx="4">
                  <c:v>17</c:v>
                </c:pt>
                <c:pt idx="5">
                  <c:v>13</c:v>
                </c:pt>
                <c:pt idx="6">
                  <c:v>11</c:v>
                </c:pt>
                <c:pt idx="7">
                  <c:v>10</c:v>
                </c:pt>
                <c:pt idx="8">
                  <c:v>10</c:v>
                </c:pt>
                <c:pt idx="9">
                  <c:v>9</c:v>
                </c:pt>
                <c:pt idx="10">
                  <c:v>9</c:v>
                </c:pt>
                <c:pt idx="11">
                  <c:v>9</c:v>
                </c:pt>
                <c:pt idx="12">
                  <c:v>9</c:v>
                </c:pt>
                <c:pt idx="13">
                  <c:v>8</c:v>
                </c:pt>
                <c:pt idx="14">
                  <c:v>8</c:v>
                </c:pt>
                <c:pt idx="15">
                  <c:v>8</c:v>
                </c:pt>
                <c:pt idx="16">
                  <c:v>7</c:v>
                </c:pt>
                <c:pt idx="17">
                  <c:v>7</c:v>
                </c:pt>
                <c:pt idx="18">
                  <c:v>7</c:v>
                </c:pt>
                <c:pt idx="19">
                  <c:v>7</c:v>
                </c:pt>
                <c:pt idx="20">
                  <c:v>6</c:v>
                </c:pt>
                <c:pt idx="21">
                  <c:v>6</c:v>
                </c:pt>
                <c:pt idx="22">
                  <c:v>6</c:v>
                </c:pt>
                <c:pt idx="23">
                  <c:v>6</c:v>
                </c:pt>
              </c:numCache>
            </c:numRef>
          </c:yVal>
          <c:smooth val="0"/>
        </c:ser>
        <c:ser>
          <c:idx val="1"/>
          <c:order val="1"/>
          <c:spPr>
            <a:ln w="19050" cap="rnd">
              <a:solidFill>
                <a:schemeClr val="accent2"/>
              </a:solidFill>
              <a:round/>
            </a:ln>
            <a:effectLst/>
          </c:spPr>
          <c:marker>
            <c:symbol val="circle"/>
            <c:size val="5"/>
            <c:spPr>
              <a:solidFill>
                <a:schemeClr val="accent2"/>
              </a:solidFill>
              <a:ln w="9525">
                <a:solidFill>
                  <a:schemeClr val="accent2"/>
                </a:solidFill>
              </a:ln>
              <a:effectLst/>
            </c:spPr>
          </c:marker>
          <c:dLbls>
            <c:delete val="1"/>
          </c:dLbls>
          <c:xVal>
            <c:numRef>
              <c:f>Hit_Rate!$A$2:$A$25</c:f>
              <c:numCache>
                <c:formatCode>General</c:formatCode>
                <c:ptCount val="24"/>
                <c:pt idx="0">
                  <c:v>2000</c:v>
                </c:pt>
                <c:pt idx="1">
                  <c:v>3000</c:v>
                </c:pt>
                <c:pt idx="2">
                  <c:v>4000</c:v>
                </c:pt>
                <c:pt idx="3">
                  <c:v>5000</c:v>
                </c:pt>
                <c:pt idx="4">
                  <c:v>6000</c:v>
                </c:pt>
                <c:pt idx="5">
                  <c:v>7000</c:v>
                </c:pt>
                <c:pt idx="6">
                  <c:v>8000</c:v>
                </c:pt>
                <c:pt idx="7">
                  <c:v>9000</c:v>
                </c:pt>
                <c:pt idx="8">
                  <c:v>10000</c:v>
                </c:pt>
                <c:pt idx="9">
                  <c:v>11000</c:v>
                </c:pt>
                <c:pt idx="10">
                  <c:v>12000</c:v>
                </c:pt>
                <c:pt idx="11">
                  <c:v>13000</c:v>
                </c:pt>
                <c:pt idx="12">
                  <c:v>14000</c:v>
                </c:pt>
                <c:pt idx="13">
                  <c:v>15000</c:v>
                </c:pt>
                <c:pt idx="14">
                  <c:v>16000</c:v>
                </c:pt>
                <c:pt idx="15">
                  <c:v>17000</c:v>
                </c:pt>
                <c:pt idx="16">
                  <c:v>18000</c:v>
                </c:pt>
                <c:pt idx="17">
                  <c:v>19000</c:v>
                </c:pt>
                <c:pt idx="18">
                  <c:v>20000</c:v>
                </c:pt>
                <c:pt idx="19">
                  <c:v>21000</c:v>
                </c:pt>
                <c:pt idx="20">
                  <c:v>22000</c:v>
                </c:pt>
                <c:pt idx="21">
                  <c:v>23000</c:v>
                </c:pt>
                <c:pt idx="22">
                  <c:v>24000</c:v>
                </c:pt>
                <c:pt idx="23">
                  <c:v>25000</c:v>
                </c:pt>
              </c:numCache>
            </c:numRef>
          </c:xVal>
          <c:yVal>
            <c:numRef>
              <c:f>Hit_Rate!$F$2:$F$25</c:f>
              <c:numCache>
                <c:formatCode>General</c:formatCode>
                <c:ptCount val="24"/>
                <c:pt idx="0">
                  <c:v>56</c:v>
                </c:pt>
                <c:pt idx="1">
                  <c:v>44</c:v>
                </c:pt>
                <c:pt idx="2">
                  <c:v>34</c:v>
                </c:pt>
                <c:pt idx="3">
                  <c:v>25</c:v>
                </c:pt>
                <c:pt idx="4">
                  <c:v>19</c:v>
                </c:pt>
                <c:pt idx="5">
                  <c:v>15</c:v>
                </c:pt>
                <c:pt idx="6">
                  <c:v>12</c:v>
                </c:pt>
                <c:pt idx="7">
                  <c:v>11</c:v>
                </c:pt>
                <c:pt idx="8">
                  <c:v>11</c:v>
                </c:pt>
                <c:pt idx="9">
                  <c:v>10</c:v>
                </c:pt>
                <c:pt idx="10">
                  <c:v>9</c:v>
                </c:pt>
                <c:pt idx="11">
                  <c:v>9</c:v>
                </c:pt>
                <c:pt idx="12">
                  <c:v>9</c:v>
                </c:pt>
                <c:pt idx="13">
                  <c:v>8</c:v>
                </c:pt>
                <c:pt idx="14">
                  <c:v>8</c:v>
                </c:pt>
                <c:pt idx="15">
                  <c:v>7</c:v>
                </c:pt>
                <c:pt idx="16">
                  <c:v>6</c:v>
                </c:pt>
                <c:pt idx="17">
                  <c:v>6</c:v>
                </c:pt>
                <c:pt idx="18">
                  <c:v>6</c:v>
                </c:pt>
                <c:pt idx="19">
                  <c:v>6</c:v>
                </c:pt>
                <c:pt idx="20">
                  <c:v>5</c:v>
                </c:pt>
                <c:pt idx="21">
                  <c:v>5</c:v>
                </c:pt>
                <c:pt idx="22">
                  <c:v>5</c:v>
                </c:pt>
                <c:pt idx="23">
                  <c:v>5</c:v>
                </c:pt>
              </c:numCache>
            </c:numRef>
          </c:yVal>
          <c:smooth val="0"/>
        </c:ser>
        <c:dLbls>
          <c:showLegendKey val="0"/>
          <c:showVal val="0"/>
          <c:showCatName val="0"/>
          <c:showSerName val="0"/>
          <c:showPercent val="0"/>
          <c:showBubbleSize val="0"/>
        </c:dLbls>
        <c:axId val="564211668"/>
        <c:axId val="445666429"/>
      </c:scatterChart>
      <c:valAx>
        <c:axId val="564211668"/>
        <c:scaling>
          <c:orientation val="minMax"/>
        </c:scaling>
        <c:delete val="0"/>
        <c:axPos val="b"/>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445666429"/>
        <c:crosses val="autoZero"/>
        <c:crossBetween val="midCat"/>
      </c:valAx>
      <c:valAx>
        <c:axId val="445666429"/>
        <c:scaling>
          <c:orientation val="minMax"/>
        </c:scaling>
        <c:delete val="0"/>
        <c:axPos val="l"/>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564211668"/>
        <c:crosses val="autoZero"/>
        <c:crossBetween val="midCat"/>
      </c:valAx>
      <c:spPr>
        <a:noFill/>
        <a:ln w="9525" cap="flat" cmpd="sng" algn="ctr">
          <a:solidFill>
            <a:schemeClr val="tx1">
              <a:lumMod val="15000"/>
              <a:lumOff val="85000"/>
            </a:schemeClr>
          </a:solidFill>
          <a:round/>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d25adfe0-adec-4f54-8522-11900cbb4b05}"/>
      </c:ext>
    </c:extLst>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1019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w="19050" cap="rnd">
        <a:solidFill>
          <a:schemeClr val="phClr"/>
        </a:solidFill>
        <a:round/>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dk1"/>
    </cs:fontRef>
    <cs:spPr>
      <a:ln w="9525">
        <a:solidFill>
          <a:schemeClr val="phClr"/>
        </a:solidFill>
      </a:ln>
      <a:effectLst/>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spPr>
      <a:ln w="9525" cap="flat" cmpd="sng" algn="ctr">
        <a:solidFill>
          <a:schemeClr val="tx1">
            <a:lumMod val="15000"/>
            <a:lumOff val="85000"/>
          </a:schemeClr>
        </a:solidFill>
        <a:round/>
      </a:ln>
    </cs:spPr>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11</xdr:col>
      <xdr:colOff>292100</xdr:colOff>
      <xdr:row>0</xdr:row>
      <xdr:rowOff>111125</xdr:rowOff>
    </xdr:from>
    <xdr:to>
      <xdr:col>22</xdr:col>
      <xdr:colOff>165100</xdr:colOff>
      <xdr:row>27</xdr:row>
      <xdr:rowOff>81915</xdr:rowOff>
    </xdr:to>
    <xdr:graphicFrame>
      <xdr:nvGraphicFramePr>
        <xdr:cNvPr id="6" name="图表 5"/>
        <xdr:cNvGraphicFramePr/>
      </xdr:nvGraphicFramePr>
      <xdr:xfrm>
        <a:off x="8721725" y="111125"/>
        <a:ext cx="7416800" cy="485711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1.xml.rels><?xml version="1.0" encoding="UTF-8" standalone="yes"?>
<Relationships xmlns="http://schemas.openxmlformats.org/package/2006/relationships"><Relationship Id="rId1" Type="http://schemas.openxmlformats.org/officeDocument/2006/relationships/hyperlink" Target="https://tieba.baidu.com/p/7873575541"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warship1.cn/thread-6042-1-1.html" TargetMode="External"/><Relationship Id="rId2" Type="http://schemas.openxmlformats.org/officeDocument/2006/relationships/hyperlink" Target="http://www.navweaps.com/" TargetMode="External"/><Relationship Id="rId1" Type="http://schemas.openxmlformats.org/officeDocument/2006/relationships/hyperlink" Target="https://www.warship1.cn/forum.php?mod=viewthread&amp;tid=7423" TargetMode="External"/></Relationships>
</file>

<file path=xl/worksheets/_rels/sheet3.xml.rels><?xml version="1.0" encoding="UTF-8" standalone="yes"?>
<Relationships xmlns="http://schemas.openxmlformats.org/package/2006/relationships"><Relationship Id="rId5" Type="http://schemas.openxmlformats.org/officeDocument/2006/relationships/hyperlink" Target="https://www.warship1.cn/thread-7495-1-1.html" TargetMode="External"/><Relationship Id="rId4" Type="http://schemas.openxmlformats.org/officeDocument/2006/relationships/hyperlink" Target="https://www.warship1.cn/thread-7451-1-1.html" TargetMode="External"/><Relationship Id="rId3" Type="http://schemas.openxmlformats.org/officeDocument/2006/relationships/hyperlink" Target="http://www.navweaps.com/index_inro/INRO_BB-Gunnery.php" TargetMode="External"/><Relationship Id="rId2" Type="http://schemas.openxmlformats.org/officeDocument/2006/relationships/hyperlink" Target="https://www.warship1.cn/thread-7500-1-1.html" TargetMode="Externa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U25"/>
  <sheetViews>
    <sheetView topLeftCell="C1" workbookViewId="0">
      <selection activeCell="D6" sqref="D6"/>
    </sheetView>
  </sheetViews>
  <sheetFormatPr defaultColWidth="9" defaultRowHeight="14.25"/>
  <cols>
    <col min="1" max="2" width="5.375" style="43" customWidth="1"/>
    <col min="3" max="4" width="42.625" style="43" customWidth="1"/>
    <col min="5" max="5" width="34.875" style="43" customWidth="1"/>
    <col min="6" max="6" width="19.375" style="43" customWidth="1"/>
    <col min="7" max="7" width="10.375" style="43" customWidth="1"/>
    <col min="8" max="8" width="11.5" style="43" customWidth="1"/>
    <col min="9" max="9" width="14.875" style="43" customWidth="1"/>
    <col min="10" max="10" width="13.75" style="43" customWidth="1"/>
    <col min="11" max="12" width="9" style="43"/>
    <col min="13" max="13" width="14.875" style="43" customWidth="1"/>
    <col min="14" max="15" width="12.625" style="43" customWidth="1"/>
    <col min="16" max="16" width="9" style="43"/>
    <col min="17" max="17" width="10.375" style="43" customWidth="1"/>
    <col min="18" max="19" width="9.375" style="43" customWidth="1"/>
    <col min="20" max="20" width="9" style="43"/>
    <col min="21" max="21" width="5.375" style="43" customWidth="1"/>
    <col min="22" max="16384" width="9" style="43"/>
  </cols>
  <sheetData>
    <row r="1" spans="1:19">
      <c r="A1" s="44" t="s">
        <v>0</v>
      </c>
      <c r="B1" s="44" t="s">
        <v>1</v>
      </c>
      <c r="C1" s="44" t="s">
        <v>2</v>
      </c>
      <c r="D1" s="44" t="s">
        <v>3</v>
      </c>
      <c r="E1" s="44" t="s">
        <v>4</v>
      </c>
      <c r="F1" s="44" t="s">
        <v>5</v>
      </c>
      <c r="G1" s="44" t="s">
        <v>6</v>
      </c>
      <c r="H1" s="44" t="s">
        <v>7</v>
      </c>
      <c r="I1" s="45" t="s">
        <v>8</v>
      </c>
      <c r="J1" s="44" t="s">
        <v>9</v>
      </c>
      <c r="K1" s="44"/>
      <c r="L1" s="44"/>
      <c r="M1" s="44" t="s">
        <v>10</v>
      </c>
      <c r="N1" s="44" t="s">
        <v>11</v>
      </c>
      <c r="O1" s="44" t="s">
        <v>12</v>
      </c>
      <c r="P1" s="44"/>
      <c r="Q1" s="44" t="s">
        <v>13</v>
      </c>
      <c r="R1" s="44" t="s">
        <v>14</v>
      </c>
      <c r="S1" s="44" t="s">
        <v>15</v>
      </c>
    </row>
    <row r="2" spans="1:21">
      <c r="A2" s="44">
        <v>1916</v>
      </c>
      <c r="B2" s="44" t="s">
        <v>16</v>
      </c>
      <c r="C2" s="44" t="s">
        <v>17</v>
      </c>
      <c r="D2" s="44" t="s">
        <v>18</v>
      </c>
      <c r="E2" s="44" t="s">
        <v>19</v>
      </c>
      <c r="F2" s="44">
        <v>153.76</v>
      </c>
      <c r="G2" s="45">
        <v>389.8</v>
      </c>
      <c r="H2" s="44">
        <f>G2*2.2</f>
        <v>857.56</v>
      </c>
      <c r="I2" s="45">
        <v>12.4</v>
      </c>
      <c r="J2" s="44">
        <f>I2^2</f>
        <v>153.76</v>
      </c>
      <c r="K2" s="44"/>
      <c r="L2" s="44"/>
      <c r="M2" s="44">
        <f>ROUND(F2/21.16,0)</f>
        <v>7</v>
      </c>
      <c r="N2" s="44">
        <f>ROUND(H2/165.385,0)</f>
        <v>5</v>
      </c>
      <c r="O2" s="44">
        <f>ROUND(I2/2.2375,0)</f>
        <v>6</v>
      </c>
      <c r="P2" s="44"/>
      <c r="Q2" s="44">
        <v>6</v>
      </c>
      <c r="R2" s="44"/>
      <c r="S2" s="44">
        <v>4</v>
      </c>
      <c r="U2" s="43">
        <f>AVERAGE(N2:O2)</f>
        <v>5.5</v>
      </c>
    </row>
    <row r="3" spans="1:21">
      <c r="A3" s="44">
        <v>1916</v>
      </c>
      <c r="B3" s="44" t="s">
        <v>16</v>
      </c>
      <c r="C3" s="44" t="s">
        <v>20</v>
      </c>
      <c r="D3" s="44" t="s">
        <v>21</v>
      </c>
      <c r="E3" s="44" t="s">
        <v>19</v>
      </c>
      <c r="F3" s="44">
        <v>153.76</v>
      </c>
      <c r="G3" s="45">
        <v>389.8</v>
      </c>
      <c r="H3" s="44">
        <f t="shared" ref="H3:H21" si="0">G3*2.2</f>
        <v>857.56</v>
      </c>
      <c r="I3" s="45">
        <v>12.4</v>
      </c>
      <c r="J3" s="44">
        <f>I3^2</f>
        <v>153.76</v>
      </c>
      <c r="K3" s="44"/>
      <c r="L3" s="44"/>
      <c r="M3" s="44">
        <f>ROUND(F3/21.16,0)</f>
        <v>7</v>
      </c>
      <c r="N3" s="44">
        <f>ROUND(H3/165.385,0)</f>
        <v>5</v>
      </c>
      <c r="O3" s="44">
        <f>ROUND(I3/2.2375,0)</f>
        <v>6</v>
      </c>
      <c r="P3" s="44"/>
      <c r="Q3" s="44">
        <v>6</v>
      </c>
      <c r="R3" s="44"/>
      <c r="S3" s="44">
        <v>4</v>
      </c>
      <c r="U3" s="43">
        <f>AVERAGE(N3:O3)</f>
        <v>5.5</v>
      </c>
    </row>
    <row r="4" spans="1:21">
      <c r="A4" s="44">
        <v>1916</v>
      </c>
      <c r="B4" s="44" t="s">
        <v>16</v>
      </c>
      <c r="C4" s="44" t="s">
        <v>22</v>
      </c>
      <c r="D4" s="44" t="s">
        <v>23</v>
      </c>
      <c r="E4" s="44" t="s">
        <v>24</v>
      </c>
      <c r="F4" s="44">
        <v>408.04</v>
      </c>
      <c r="G4" s="45">
        <v>635</v>
      </c>
      <c r="H4" s="44">
        <f t="shared" si="0"/>
        <v>1397</v>
      </c>
      <c r="I4" s="45">
        <v>20.2</v>
      </c>
      <c r="J4" s="44">
        <f>I4^2</f>
        <v>408.04</v>
      </c>
      <c r="K4" s="44"/>
      <c r="L4" s="44"/>
      <c r="M4" s="44">
        <f>ROUND(F4/21.16,0)</f>
        <v>19</v>
      </c>
      <c r="N4" s="44">
        <f>ROUND(H4/165.385,0)</f>
        <v>8</v>
      </c>
      <c r="O4" s="44">
        <f>ROUND(I4/2.2375,0)</f>
        <v>9</v>
      </c>
      <c r="P4" s="44"/>
      <c r="Q4" s="44">
        <v>9</v>
      </c>
      <c r="R4" s="44"/>
      <c r="S4" s="44">
        <v>7</v>
      </c>
      <c r="U4" s="43">
        <f>AVERAGE(N4:O4)</f>
        <v>8.5</v>
      </c>
    </row>
    <row r="5" spans="1:21">
      <c r="A5" s="44">
        <v>1916</v>
      </c>
      <c r="B5" s="44" t="s">
        <v>16</v>
      </c>
      <c r="C5" s="44" t="s">
        <v>25</v>
      </c>
      <c r="D5" s="44" t="s">
        <v>26</v>
      </c>
      <c r="E5" s="44" t="s">
        <v>27</v>
      </c>
      <c r="F5" s="44">
        <v>327.61</v>
      </c>
      <c r="G5" s="45">
        <v>574.5</v>
      </c>
      <c r="H5" s="44">
        <f t="shared" si="0"/>
        <v>1263.9</v>
      </c>
      <c r="I5" s="45">
        <v>18.1</v>
      </c>
      <c r="J5" s="44">
        <f>I5^2</f>
        <v>327.61</v>
      </c>
      <c r="K5" s="44"/>
      <c r="L5" s="44"/>
      <c r="M5" s="44">
        <f>ROUND(F5/21.16,0)</f>
        <v>15</v>
      </c>
      <c r="N5" s="44">
        <f>ROUND(H5/165.385,0)</f>
        <v>8</v>
      </c>
      <c r="O5" s="44">
        <f>ROUND(I5/2.2375,0)</f>
        <v>8</v>
      </c>
      <c r="P5" s="44"/>
      <c r="Q5" s="44">
        <v>9</v>
      </c>
      <c r="R5" s="44"/>
      <c r="S5" s="44">
        <v>7</v>
      </c>
      <c r="U5" s="43">
        <f>AVERAGE(N5:O5)</f>
        <v>8</v>
      </c>
    </row>
    <row r="6" spans="1:21">
      <c r="A6" s="44">
        <v>1916</v>
      </c>
      <c r="B6" s="44" t="s">
        <v>16</v>
      </c>
      <c r="C6" s="44" t="s">
        <v>28</v>
      </c>
      <c r="D6" s="44" t="s">
        <v>29</v>
      </c>
      <c r="E6" s="44" t="s">
        <v>30</v>
      </c>
      <c r="F6" s="44">
        <v>750.76</v>
      </c>
      <c r="G6" s="45">
        <v>871</v>
      </c>
      <c r="H6" s="44">
        <f t="shared" si="0"/>
        <v>1916.2</v>
      </c>
      <c r="I6" s="45">
        <v>27.4</v>
      </c>
      <c r="J6" s="44">
        <f>I6^2</f>
        <v>750.76</v>
      </c>
      <c r="K6" s="44"/>
      <c r="L6" s="44"/>
      <c r="M6" s="44">
        <f>ROUND(F6/21.16,0)</f>
        <v>35</v>
      </c>
      <c r="N6" s="44">
        <f>ROUND(H6/165.385,0)</f>
        <v>12</v>
      </c>
      <c r="O6" s="44">
        <f>ROUND(I6/2.2375,0)</f>
        <v>12</v>
      </c>
      <c r="P6" s="44"/>
      <c r="Q6" s="44">
        <v>12</v>
      </c>
      <c r="R6" s="44"/>
      <c r="S6" s="44">
        <v>10</v>
      </c>
      <c r="U6" s="43">
        <f>AVERAGE(N6:O6)</f>
        <v>12</v>
      </c>
    </row>
    <row r="7" spans="1:21">
      <c r="A7" s="44">
        <v>1916</v>
      </c>
      <c r="B7" s="44" t="s">
        <v>16</v>
      </c>
      <c r="C7" s="45" t="s">
        <v>31</v>
      </c>
      <c r="D7" s="45" t="s">
        <v>32</v>
      </c>
      <c r="E7" s="45" t="s">
        <v>24</v>
      </c>
      <c r="F7" s="45">
        <v>778.41</v>
      </c>
      <c r="G7" s="45">
        <v>719</v>
      </c>
      <c r="H7" s="44">
        <f t="shared" si="0"/>
        <v>1581.8</v>
      </c>
      <c r="I7" s="45">
        <v>27.9</v>
      </c>
      <c r="J7" s="44">
        <f t="shared" ref="J7:J21" si="1">I7^2</f>
        <v>778.41</v>
      </c>
      <c r="K7" s="44"/>
      <c r="L7" s="44"/>
      <c r="M7" s="44">
        <f t="shared" ref="M7:M21" si="2">ROUND(F7/21.16,0)</f>
        <v>37</v>
      </c>
      <c r="N7" s="44">
        <f t="shared" ref="N7:N21" si="3">ROUND(H7/165.385,0)</f>
        <v>10</v>
      </c>
      <c r="O7" s="44">
        <f t="shared" ref="O7:O21" si="4">ROUND(I7/2.2375,0)</f>
        <v>12</v>
      </c>
      <c r="P7" s="44"/>
      <c r="Q7" s="44">
        <v>12</v>
      </c>
      <c r="R7" s="44"/>
      <c r="S7" s="44">
        <v>10</v>
      </c>
      <c r="U7" s="43">
        <f t="shared" ref="U7:U21" si="5">AVERAGE(N7:O7)</f>
        <v>11</v>
      </c>
    </row>
    <row r="8" spans="1:21">
      <c r="A8" s="44">
        <v>1916</v>
      </c>
      <c r="B8" s="44" t="s">
        <v>16</v>
      </c>
      <c r="C8" s="45" t="s">
        <v>33</v>
      </c>
      <c r="D8" s="45" t="s">
        <v>34</v>
      </c>
      <c r="E8" s="45" t="s">
        <v>35</v>
      </c>
      <c r="F8" s="45">
        <v>141.61</v>
      </c>
      <c r="G8" s="45">
        <v>386</v>
      </c>
      <c r="H8" s="44">
        <f t="shared" si="0"/>
        <v>849.2</v>
      </c>
      <c r="I8" s="45">
        <v>11.9</v>
      </c>
      <c r="J8" s="44">
        <f t="shared" si="1"/>
        <v>141.61</v>
      </c>
      <c r="K8" s="44"/>
      <c r="L8" s="44"/>
      <c r="M8" s="44">
        <f t="shared" si="2"/>
        <v>7</v>
      </c>
      <c r="N8" s="44">
        <f t="shared" si="3"/>
        <v>5</v>
      </c>
      <c r="O8" s="44">
        <f t="shared" si="4"/>
        <v>5</v>
      </c>
      <c r="P8" s="44"/>
      <c r="Q8" s="44">
        <v>6</v>
      </c>
      <c r="R8" s="44"/>
      <c r="S8" s="44">
        <v>4</v>
      </c>
      <c r="U8" s="43">
        <f t="shared" si="5"/>
        <v>5</v>
      </c>
    </row>
    <row r="9" spans="1:21">
      <c r="A9" s="44">
        <v>1916</v>
      </c>
      <c r="B9" s="44" t="s">
        <v>36</v>
      </c>
      <c r="C9" s="44" t="s">
        <v>37</v>
      </c>
      <c r="D9" s="44" t="s">
        <v>38</v>
      </c>
      <c r="E9" s="44" t="s">
        <v>39</v>
      </c>
      <c r="F9" s="44">
        <v>80.1025</v>
      </c>
      <c r="G9" s="45">
        <v>300.7</v>
      </c>
      <c r="H9" s="44">
        <f t="shared" si="0"/>
        <v>661.54</v>
      </c>
      <c r="I9" s="45">
        <v>8.95</v>
      </c>
      <c r="J9" s="44">
        <f t="shared" si="1"/>
        <v>80.1025</v>
      </c>
      <c r="K9" s="44"/>
      <c r="L9" s="44"/>
      <c r="M9" s="44">
        <f t="shared" si="2"/>
        <v>4</v>
      </c>
      <c r="N9" s="44">
        <f t="shared" si="3"/>
        <v>4</v>
      </c>
      <c r="O9" s="44">
        <f t="shared" si="4"/>
        <v>4</v>
      </c>
      <c r="P9" s="44"/>
      <c r="Q9" s="44">
        <v>4</v>
      </c>
      <c r="R9" s="44"/>
      <c r="S9" s="44">
        <v>2</v>
      </c>
      <c r="U9" s="43">
        <f t="shared" si="5"/>
        <v>4</v>
      </c>
    </row>
    <row r="10" spans="1:21">
      <c r="A10" s="44">
        <v>1916</v>
      </c>
      <c r="B10" s="44" t="s">
        <v>36</v>
      </c>
      <c r="C10" s="44" t="s">
        <v>40</v>
      </c>
      <c r="D10" s="44" t="s">
        <v>41</v>
      </c>
      <c r="E10" s="44" t="s">
        <v>39</v>
      </c>
      <c r="F10" s="44">
        <v>80.1025</v>
      </c>
      <c r="G10" s="45">
        <v>300.7</v>
      </c>
      <c r="H10" s="44">
        <f t="shared" si="0"/>
        <v>661.54</v>
      </c>
      <c r="I10" s="45">
        <v>8.95</v>
      </c>
      <c r="J10" s="44">
        <f t="shared" si="1"/>
        <v>80.1025</v>
      </c>
      <c r="K10" s="44"/>
      <c r="L10" s="44"/>
      <c r="M10" s="44">
        <f t="shared" si="2"/>
        <v>4</v>
      </c>
      <c r="N10" s="44">
        <f t="shared" si="3"/>
        <v>4</v>
      </c>
      <c r="O10" s="44">
        <f t="shared" si="4"/>
        <v>4</v>
      </c>
      <c r="P10" s="44"/>
      <c r="Q10" s="44">
        <v>4</v>
      </c>
      <c r="R10" s="44"/>
      <c r="S10" s="44">
        <v>2</v>
      </c>
      <c r="U10" s="43">
        <f t="shared" si="5"/>
        <v>4</v>
      </c>
    </row>
    <row r="11" spans="1:21">
      <c r="A11" s="44">
        <v>1916</v>
      </c>
      <c r="B11" s="44" t="s">
        <v>36</v>
      </c>
      <c r="C11" s="44" t="s">
        <v>42</v>
      </c>
      <c r="D11" s="44" t="s">
        <v>43</v>
      </c>
      <c r="E11" s="44" t="s">
        <v>44</v>
      </c>
      <c r="F11" s="44">
        <v>132.25</v>
      </c>
      <c r="G11" s="45">
        <v>405.5</v>
      </c>
      <c r="H11" s="44">
        <f t="shared" si="0"/>
        <v>892.1</v>
      </c>
      <c r="I11" s="45">
        <v>11.5</v>
      </c>
      <c r="J11" s="44">
        <f t="shared" si="1"/>
        <v>132.25</v>
      </c>
      <c r="K11" s="44"/>
      <c r="L11" s="44"/>
      <c r="M11" s="44">
        <f t="shared" si="2"/>
        <v>6</v>
      </c>
      <c r="N11" s="44">
        <f t="shared" si="3"/>
        <v>5</v>
      </c>
      <c r="O11" s="44">
        <f t="shared" si="4"/>
        <v>5</v>
      </c>
      <c r="P11" s="44"/>
      <c r="Q11" s="44">
        <v>5</v>
      </c>
      <c r="R11" s="44"/>
      <c r="S11" s="44">
        <v>3</v>
      </c>
      <c r="U11" s="43">
        <f t="shared" si="5"/>
        <v>5</v>
      </c>
    </row>
    <row r="12" s="41" customFormat="1" spans="1:21">
      <c r="A12" s="44">
        <v>1916</v>
      </c>
      <c r="B12" s="45" t="s">
        <v>36</v>
      </c>
      <c r="C12" s="45" t="s">
        <v>45</v>
      </c>
      <c r="D12" s="45" t="s">
        <v>46</v>
      </c>
      <c r="E12" s="45" t="s">
        <v>47</v>
      </c>
      <c r="F12" s="45">
        <v>400</v>
      </c>
      <c r="G12" s="45">
        <v>600</v>
      </c>
      <c r="H12" s="44">
        <f t="shared" si="0"/>
        <v>1320</v>
      </c>
      <c r="I12" s="45">
        <v>20</v>
      </c>
      <c r="J12" s="44">
        <f t="shared" si="1"/>
        <v>400</v>
      </c>
      <c r="K12" s="44"/>
      <c r="L12" s="44"/>
      <c r="M12" s="44">
        <f t="shared" si="2"/>
        <v>19</v>
      </c>
      <c r="N12" s="44">
        <f t="shared" si="3"/>
        <v>8</v>
      </c>
      <c r="O12" s="44">
        <f t="shared" si="4"/>
        <v>9</v>
      </c>
      <c r="P12" s="44"/>
      <c r="Q12" s="44">
        <v>9</v>
      </c>
      <c r="R12" s="44"/>
      <c r="S12" s="44">
        <v>7</v>
      </c>
      <c r="U12" s="43">
        <f t="shared" si="5"/>
        <v>8.5</v>
      </c>
    </row>
    <row r="13" s="41" customFormat="1" spans="1:21">
      <c r="A13" s="44">
        <v>1916</v>
      </c>
      <c r="B13" s="45" t="s">
        <v>36</v>
      </c>
      <c r="C13" s="45" t="s">
        <v>48</v>
      </c>
      <c r="D13" s="45" t="s">
        <v>49</v>
      </c>
      <c r="E13" s="45" t="s">
        <v>50</v>
      </c>
      <c r="F13" s="45">
        <v>625</v>
      </c>
      <c r="G13" s="45">
        <v>750</v>
      </c>
      <c r="H13" s="44">
        <f t="shared" si="0"/>
        <v>1650</v>
      </c>
      <c r="I13" s="45">
        <v>25</v>
      </c>
      <c r="J13" s="44">
        <f t="shared" si="1"/>
        <v>625</v>
      </c>
      <c r="K13" s="44"/>
      <c r="L13" s="44"/>
      <c r="M13" s="44">
        <f t="shared" si="2"/>
        <v>30</v>
      </c>
      <c r="N13" s="44">
        <f t="shared" si="3"/>
        <v>10</v>
      </c>
      <c r="O13" s="44">
        <f t="shared" si="4"/>
        <v>11</v>
      </c>
      <c r="P13" s="44"/>
      <c r="Q13" s="44">
        <v>11</v>
      </c>
      <c r="R13" s="44"/>
      <c r="S13" s="44">
        <v>9</v>
      </c>
      <c r="U13" s="43">
        <f t="shared" si="5"/>
        <v>10.5</v>
      </c>
    </row>
    <row r="14" s="42" customFormat="1" spans="1:21">
      <c r="A14" s="46">
        <v>1918</v>
      </c>
      <c r="B14" s="46" t="s">
        <v>16</v>
      </c>
      <c r="C14" s="46" t="s">
        <v>17</v>
      </c>
      <c r="D14" s="46" t="s">
        <v>18</v>
      </c>
      <c r="E14" s="46" t="s">
        <v>51</v>
      </c>
      <c r="F14" s="46">
        <v>84.64</v>
      </c>
      <c r="G14" s="47">
        <v>387.4</v>
      </c>
      <c r="H14" s="46">
        <f t="shared" si="0"/>
        <v>852.28</v>
      </c>
      <c r="I14" s="47">
        <v>9.2</v>
      </c>
      <c r="J14" s="46">
        <f t="shared" si="1"/>
        <v>84.64</v>
      </c>
      <c r="K14" s="46"/>
      <c r="L14" s="46"/>
      <c r="M14" s="46">
        <f t="shared" si="2"/>
        <v>4</v>
      </c>
      <c r="N14" s="46">
        <f t="shared" si="3"/>
        <v>5</v>
      </c>
      <c r="O14" s="46">
        <f t="shared" si="4"/>
        <v>4</v>
      </c>
      <c r="P14" s="46"/>
      <c r="Q14" s="46">
        <v>4</v>
      </c>
      <c r="R14" s="46"/>
      <c r="S14" s="46">
        <v>3</v>
      </c>
      <c r="U14" s="43">
        <f t="shared" si="5"/>
        <v>4.5</v>
      </c>
    </row>
    <row r="15" s="42" customFormat="1" spans="1:21">
      <c r="A15" s="46">
        <v>1918</v>
      </c>
      <c r="B15" s="46" t="s">
        <v>16</v>
      </c>
      <c r="C15" s="46" t="s">
        <v>20</v>
      </c>
      <c r="D15" s="46" t="s">
        <v>21</v>
      </c>
      <c r="E15" s="46" t="s">
        <v>51</v>
      </c>
      <c r="F15" s="46">
        <v>84.64</v>
      </c>
      <c r="G15" s="47">
        <v>387.4</v>
      </c>
      <c r="H15" s="46">
        <f t="shared" si="0"/>
        <v>852.28</v>
      </c>
      <c r="I15" s="47">
        <v>9.2</v>
      </c>
      <c r="J15" s="46">
        <f t="shared" si="1"/>
        <v>84.64</v>
      </c>
      <c r="K15" s="46"/>
      <c r="L15" s="46"/>
      <c r="M15" s="46">
        <f t="shared" si="2"/>
        <v>4</v>
      </c>
      <c r="N15" s="46">
        <f t="shared" si="3"/>
        <v>5</v>
      </c>
      <c r="O15" s="46">
        <f t="shared" si="4"/>
        <v>4</v>
      </c>
      <c r="P15" s="46"/>
      <c r="Q15" s="46">
        <v>4</v>
      </c>
      <c r="R15" s="46"/>
      <c r="S15" s="46">
        <v>3</v>
      </c>
      <c r="U15" s="43">
        <f t="shared" si="5"/>
        <v>4.5</v>
      </c>
    </row>
    <row r="16" s="42" customFormat="1" spans="1:21">
      <c r="A16" s="46">
        <v>1918</v>
      </c>
      <c r="B16" s="46" t="s">
        <v>16</v>
      </c>
      <c r="C16" s="46" t="s">
        <v>22</v>
      </c>
      <c r="D16" s="46" t="s">
        <v>23</v>
      </c>
      <c r="E16" s="46" t="s">
        <v>52</v>
      </c>
      <c r="F16" s="46">
        <v>225</v>
      </c>
      <c r="G16" s="47">
        <v>639.6</v>
      </c>
      <c r="H16" s="46">
        <f t="shared" si="0"/>
        <v>1407.12</v>
      </c>
      <c r="I16" s="47">
        <v>15</v>
      </c>
      <c r="J16" s="46">
        <f t="shared" si="1"/>
        <v>225</v>
      </c>
      <c r="K16" s="46"/>
      <c r="L16" s="46"/>
      <c r="M16" s="46">
        <f t="shared" si="2"/>
        <v>11</v>
      </c>
      <c r="N16" s="46">
        <f t="shared" si="3"/>
        <v>9</v>
      </c>
      <c r="O16" s="46">
        <f t="shared" si="4"/>
        <v>7</v>
      </c>
      <c r="P16" s="46"/>
      <c r="Q16" s="46">
        <v>7</v>
      </c>
      <c r="R16" s="46"/>
      <c r="S16" s="46">
        <v>5</v>
      </c>
      <c r="U16" s="43">
        <f t="shared" si="5"/>
        <v>8</v>
      </c>
    </row>
    <row r="17" s="42" customFormat="1" spans="1:21">
      <c r="A17" s="46">
        <v>1918</v>
      </c>
      <c r="B17" s="46" t="s">
        <v>16</v>
      </c>
      <c r="C17" s="47" t="s">
        <v>31</v>
      </c>
      <c r="D17" s="47" t="s">
        <v>32</v>
      </c>
      <c r="E17" s="47" t="s">
        <v>52</v>
      </c>
      <c r="F17" s="47">
        <v>289</v>
      </c>
      <c r="G17" s="47">
        <v>723.5</v>
      </c>
      <c r="H17" s="46">
        <f t="shared" si="0"/>
        <v>1591.7</v>
      </c>
      <c r="I17" s="47">
        <v>17</v>
      </c>
      <c r="J17" s="46">
        <f t="shared" si="1"/>
        <v>289</v>
      </c>
      <c r="K17" s="46"/>
      <c r="L17" s="46"/>
      <c r="M17" s="46">
        <f t="shared" si="2"/>
        <v>14</v>
      </c>
      <c r="N17" s="46">
        <f t="shared" si="3"/>
        <v>10</v>
      </c>
      <c r="O17" s="46">
        <f t="shared" si="4"/>
        <v>8</v>
      </c>
      <c r="P17" s="46"/>
      <c r="Q17" s="46">
        <v>8</v>
      </c>
      <c r="R17" s="46"/>
      <c r="S17" s="46">
        <v>6</v>
      </c>
      <c r="U17" s="43">
        <f t="shared" si="5"/>
        <v>9</v>
      </c>
    </row>
    <row r="18" s="42" customFormat="1" spans="1:21">
      <c r="A18" s="46">
        <v>1918</v>
      </c>
      <c r="B18" s="46" t="s">
        <v>16</v>
      </c>
      <c r="C18" s="47" t="s">
        <v>33</v>
      </c>
      <c r="D18" s="47" t="s">
        <v>34</v>
      </c>
      <c r="E18" s="46" t="s">
        <v>19</v>
      </c>
      <c r="F18" s="46">
        <v>153.76</v>
      </c>
      <c r="G18" s="47">
        <v>389.8</v>
      </c>
      <c r="H18" s="46">
        <f t="shared" si="0"/>
        <v>857.56</v>
      </c>
      <c r="I18" s="47">
        <v>12.4</v>
      </c>
      <c r="J18" s="46">
        <f t="shared" si="1"/>
        <v>153.76</v>
      </c>
      <c r="K18" s="46"/>
      <c r="L18" s="46"/>
      <c r="M18" s="46">
        <f t="shared" si="2"/>
        <v>7</v>
      </c>
      <c r="N18" s="46">
        <f t="shared" si="3"/>
        <v>5</v>
      </c>
      <c r="O18" s="46">
        <f t="shared" si="4"/>
        <v>6</v>
      </c>
      <c r="P18" s="46"/>
      <c r="Q18" s="46">
        <v>6</v>
      </c>
      <c r="R18" s="46"/>
      <c r="S18" s="46">
        <v>4</v>
      </c>
      <c r="U18" s="43">
        <f t="shared" si="5"/>
        <v>5.5</v>
      </c>
    </row>
    <row r="19" s="42" customFormat="1" spans="1:21">
      <c r="A19" s="46">
        <v>1918</v>
      </c>
      <c r="B19" s="46" t="s">
        <v>16</v>
      </c>
      <c r="C19" s="46" t="s">
        <v>25</v>
      </c>
      <c r="D19" s="46" t="s">
        <v>26</v>
      </c>
      <c r="E19" s="46" t="s">
        <v>53</v>
      </c>
      <c r="F19" s="46">
        <v>179.56</v>
      </c>
      <c r="G19" s="47">
        <v>570.2</v>
      </c>
      <c r="H19" s="46">
        <f t="shared" si="0"/>
        <v>1254.44</v>
      </c>
      <c r="I19" s="47">
        <v>13.4</v>
      </c>
      <c r="J19" s="46">
        <f t="shared" si="1"/>
        <v>179.56</v>
      </c>
      <c r="K19" s="46"/>
      <c r="L19" s="46"/>
      <c r="M19" s="46">
        <f t="shared" si="2"/>
        <v>8</v>
      </c>
      <c r="N19" s="46">
        <f t="shared" si="3"/>
        <v>8</v>
      </c>
      <c r="O19" s="46">
        <f t="shared" si="4"/>
        <v>6</v>
      </c>
      <c r="P19" s="46"/>
      <c r="Q19" s="46">
        <v>7</v>
      </c>
      <c r="R19" s="46"/>
      <c r="S19" s="46">
        <v>5</v>
      </c>
      <c r="U19" s="43">
        <f t="shared" si="5"/>
        <v>7</v>
      </c>
    </row>
    <row r="20" s="42" customFormat="1" spans="1:21">
      <c r="A20" s="46">
        <v>1918</v>
      </c>
      <c r="B20" s="47" t="s">
        <v>16</v>
      </c>
      <c r="C20" s="47" t="s">
        <v>25</v>
      </c>
      <c r="D20" s="46" t="s">
        <v>26</v>
      </c>
      <c r="E20" s="46" t="s">
        <v>54</v>
      </c>
      <c r="F20" s="46">
        <v>179.56</v>
      </c>
      <c r="G20" s="47">
        <v>567</v>
      </c>
      <c r="H20" s="46">
        <f t="shared" si="0"/>
        <v>1247.4</v>
      </c>
      <c r="I20" s="47">
        <v>13.4</v>
      </c>
      <c r="J20" s="46">
        <f t="shared" si="1"/>
        <v>179.56</v>
      </c>
      <c r="K20" s="46"/>
      <c r="L20" s="46"/>
      <c r="M20" s="46">
        <f t="shared" si="2"/>
        <v>8</v>
      </c>
      <c r="N20" s="46">
        <f t="shared" si="3"/>
        <v>8</v>
      </c>
      <c r="O20" s="46">
        <f t="shared" si="4"/>
        <v>6</v>
      </c>
      <c r="P20" s="46"/>
      <c r="Q20" s="46">
        <v>7</v>
      </c>
      <c r="R20" s="46"/>
      <c r="S20" s="46">
        <v>5</v>
      </c>
      <c r="U20" s="43">
        <f t="shared" si="5"/>
        <v>7</v>
      </c>
    </row>
    <row r="21" s="42" customFormat="1" spans="1:21">
      <c r="A21" s="46">
        <v>1918</v>
      </c>
      <c r="B21" s="46" t="s">
        <v>16</v>
      </c>
      <c r="C21" s="46" t="s">
        <v>28</v>
      </c>
      <c r="D21" s="46" t="s">
        <v>29</v>
      </c>
      <c r="E21" s="46" t="s">
        <v>55</v>
      </c>
      <c r="F21" s="46">
        <v>420.25</v>
      </c>
      <c r="G21" s="47">
        <v>866.4</v>
      </c>
      <c r="H21" s="46">
        <f t="shared" si="0"/>
        <v>1906.08</v>
      </c>
      <c r="I21" s="47">
        <v>20.5</v>
      </c>
      <c r="J21" s="46">
        <f t="shared" si="1"/>
        <v>420.25</v>
      </c>
      <c r="K21" s="46"/>
      <c r="L21" s="46"/>
      <c r="M21" s="46">
        <f t="shared" si="2"/>
        <v>20</v>
      </c>
      <c r="N21" s="46">
        <f t="shared" si="3"/>
        <v>12</v>
      </c>
      <c r="O21" s="46">
        <f t="shared" si="4"/>
        <v>9</v>
      </c>
      <c r="P21" s="46"/>
      <c r="Q21" s="46">
        <v>10</v>
      </c>
      <c r="R21" s="46"/>
      <c r="S21" s="46">
        <v>8</v>
      </c>
      <c r="U21" s="43">
        <f t="shared" si="5"/>
        <v>10.5</v>
      </c>
    </row>
    <row r="23" spans="1:15">
      <c r="A23" s="48" t="s">
        <v>56</v>
      </c>
      <c r="B23" s="49"/>
      <c r="C23" s="49"/>
      <c r="D23" s="49"/>
      <c r="E23" s="49"/>
      <c r="F23" s="43">
        <f>F3/4</f>
        <v>38.44</v>
      </c>
      <c r="O23" s="43" t="s">
        <v>57</v>
      </c>
    </row>
    <row r="24" spans="1:5">
      <c r="A24" s="49"/>
      <c r="B24" s="49"/>
      <c r="C24" s="49"/>
      <c r="D24" s="49"/>
      <c r="E24" s="49"/>
    </row>
    <row r="25" spans="1:5">
      <c r="A25" s="49"/>
      <c r="B25" s="49"/>
      <c r="C25" s="49"/>
      <c r="D25" s="49"/>
      <c r="E25" s="49"/>
    </row>
  </sheetData>
  <autoFilter xmlns:etc="http://www.wps.cn/officeDocument/2017/etCustomData" ref="A1:F21" etc:filterBottomFollowUsedRange="0">
    <sortState ref="A1:F21">
      <sortCondition ref="A1"/>
    </sortState>
    <extLst/>
  </autoFilter>
  <mergeCells count="1">
    <mergeCell ref="A23:E25"/>
  </mergeCells>
  <hyperlinks>
    <hyperlink ref="A23" r:id="rId1" display="https://tieba.baidu.com/p/7873575541"/>
  </hyperlink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135"/>
  <sheetViews>
    <sheetView tabSelected="1" workbookViewId="0">
      <selection activeCell="D16" sqref="D16"/>
    </sheetView>
  </sheetViews>
  <sheetFormatPr defaultColWidth="9" defaultRowHeight="14.25"/>
  <cols>
    <col min="1" max="2" width="5.375" style="10" customWidth="1"/>
    <col min="3" max="3" width="36" style="10" customWidth="1"/>
    <col min="4" max="4" width="42.625" style="10" customWidth="1"/>
    <col min="5" max="5" width="34.875" style="10" customWidth="1"/>
    <col min="6" max="6" width="12.625" style="11" customWidth="1"/>
    <col min="7" max="7" width="11.5" style="12" customWidth="1"/>
    <col min="8" max="8" width="7.375" style="12" customWidth="1"/>
    <col min="9" max="9" width="12.625" style="12" customWidth="1"/>
    <col min="10" max="11" width="5.375" style="12" customWidth="1"/>
    <col min="12" max="12" width="11.5" style="12" customWidth="1"/>
    <col min="13" max="13" width="9" style="8"/>
    <col min="14" max="14" width="19.375" style="8" customWidth="1"/>
    <col min="15" max="15" width="9" style="8"/>
    <col min="16" max="16" width="8.375" style="8" customWidth="1"/>
    <col min="17" max="16384" width="9" style="8"/>
  </cols>
  <sheetData>
    <row r="1" s="8" customFormat="1" spans="1:20">
      <c r="A1" s="10" t="s">
        <v>0</v>
      </c>
      <c r="B1" s="10" t="s">
        <v>1</v>
      </c>
      <c r="C1" s="10" t="s">
        <v>2</v>
      </c>
      <c r="D1" s="10" t="s">
        <v>58</v>
      </c>
      <c r="E1" s="10" t="s">
        <v>59</v>
      </c>
      <c r="F1" s="11" t="s">
        <v>60</v>
      </c>
      <c r="G1" s="12" t="s">
        <v>61</v>
      </c>
      <c r="H1" s="12" t="s">
        <v>62</v>
      </c>
      <c r="I1" s="12" t="s">
        <v>61</v>
      </c>
      <c r="J1" s="12" t="s">
        <v>63</v>
      </c>
      <c r="K1" s="12" t="s">
        <v>64</v>
      </c>
      <c r="L1" s="12" t="s">
        <v>65</v>
      </c>
      <c r="N1" s="8" t="s">
        <v>66</v>
      </c>
      <c r="O1" s="8" t="s">
        <v>67</v>
      </c>
      <c r="P1" s="8" t="s">
        <v>62</v>
      </c>
      <c r="R1" s="12" t="s">
        <v>61</v>
      </c>
      <c r="S1" s="12" t="s">
        <v>63</v>
      </c>
      <c r="T1" s="8" t="s">
        <v>68</v>
      </c>
    </row>
    <row r="2" s="8" customFormat="1" spans="1:20">
      <c r="A2" s="13">
        <v>1916</v>
      </c>
      <c r="B2" s="13" t="s">
        <v>16</v>
      </c>
      <c r="C2" s="13" t="s">
        <v>17</v>
      </c>
      <c r="D2" s="13" t="s">
        <v>18</v>
      </c>
      <c r="E2" s="13" t="s">
        <v>19</v>
      </c>
      <c r="F2" s="14" t="s">
        <v>69</v>
      </c>
      <c r="G2" s="15">
        <v>1500</v>
      </c>
      <c r="H2" s="15">
        <v>0.7</v>
      </c>
      <c r="I2" s="15">
        <v>8570</v>
      </c>
      <c r="J2" s="15">
        <v>305</v>
      </c>
      <c r="K2" s="15">
        <v>0</v>
      </c>
      <c r="L2" s="27" t="s">
        <v>70</v>
      </c>
      <c r="N2" s="28" t="s">
        <v>71</v>
      </c>
      <c r="O2" s="17">
        <v>7000</v>
      </c>
      <c r="P2" s="29">
        <f t="shared" ref="P2:P8" si="0">0.00000009*O2^2-0.00003*O2+0.6157</f>
        <v>4.8157</v>
      </c>
      <c r="R2" s="15"/>
      <c r="S2" s="15"/>
      <c r="T2" s="28" t="s">
        <v>72</v>
      </c>
    </row>
    <row r="3" s="8" customFormat="1" spans="1:20">
      <c r="A3" s="10"/>
      <c r="B3" s="10"/>
      <c r="C3" s="10"/>
      <c r="D3" s="10"/>
      <c r="E3" s="10"/>
      <c r="F3" s="11"/>
      <c r="G3" s="12">
        <v>6000</v>
      </c>
      <c r="H3" s="12">
        <v>3.8</v>
      </c>
      <c r="I3" s="12">
        <v>7300</v>
      </c>
      <c r="J3" s="12">
        <v>305</v>
      </c>
      <c r="K3" s="12">
        <v>30</v>
      </c>
      <c r="L3" s="30" t="s">
        <v>70</v>
      </c>
      <c r="N3" s="28"/>
      <c r="O3" s="17">
        <v>10500</v>
      </c>
      <c r="P3" s="29">
        <f t="shared" si="0"/>
        <v>10.2232</v>
      </c>
      <c r="R3" s="12"/>
      <c r="S3" s="12"/>
      <c r="T3" s="28"/>
    </row>
    <row r="4" s="8" customFormat="1" spans="1:20">
      <c r="A4" s="10"/>
      <c r="B4" s="10"/>
      <c r="C4" s="10"/>
      <c r="D4" s="10"/>
      <c r="E4" s="10"/>
      <c r="F4" s="11"/>
      <c r="G4" s="12">
        <v>10000</v>
      </c>
      <c r="H4" s="12">
        <v>8.9</v>
      </c>
      <c r="I4" s="12" t="s">
        <v>73</v>
      </c>
      <c r="J4" s="12">
        <v>305</v>
      </c>
      <c r="K4" s="12"/>
      <c r="L4" s="30"/>
      <c r="N4" s="28"/>
      <c r="O4" s="17">
        <v>13000</v>
      </c>
      <c r="P4" s="29">
        <f t="shared" si="0"/>
        <v>15.4357</v>
      </c>
      <c r="R4" s="12"/>
      <c r="S4" s="12"/>
      <c r="T4" s="28"/>
    </row>
    <row r="5" s="8" customFormat="1" spans="1:20">
      <c r="A5" s="10"/>
      <c r="B5" s="10"/>
      <c r="C5" s="10"/>
      <c r="D5" s="10"/>
      <c r="E5" s="10"/>
      <c r="F5" s="11"/>
      <c r="G5" s="12">
        <v>15000</v>
      </c>
      <c r="H5" s="12">
        <v>20</v>
      </c>
      <c r="I5" s="12" t="s">
        <v>74</v>
      </c>
      <c r="J5" s="12">
        <v>266</v>
      </c>
      <c r="K5" s="12"/>
      <c r="L5" s="30"/>
      <c r="N5" s="28"/>
      <c r="O5" s="17">
        <v>15000</v>
      </c>
      <c r="P5" s="29">
        <f t="shared" si="0"/>
        <v>20.4157</v>
      </c>
      <c r="R5" s="12"/>
      <c r="S5" s="12"/>
      <c r="T5" s="28"/>
    </row>
    <row r="6" s="8" customFormat="1" spans="1:20">
      <c r="A6" s="10"/>
      <c r="B6" s="10"/>
      <c r="C6" s="10"/>
      <c r="D6" s="10"/>
      <c r="E6" s="10"/>
      <c r="F6" s="11"/>
      <c r="G6" s="12">
        <v>18850</v>
      </c>
      <c r="H6" s="12"/>
      <c r="I6" s="12" t="s">
        <v>75</v>
      </c>
      <c r="J6" s="12">
        <v>228</v>
      </c>
      <c r="K6" s="12"/>
      <c r="L6" s="30"/>
      <c r="N6" s="28"/>
      <c r="O6" s="17">
        <v>16500</v>
      </c>
      <c r="P6" s="29">
        <f t="shared" si="0"/>
        <v>24.6232</v>
      </c>
      <c r="R6" s="17"/>
      <c r="S6" s="17"/>
      <c r="T6" s="28"/>
    </row>
    <row r="7" s="8" customFormat="1" spans="6:20">
      <c r="F7" s="16"/>
      <c r="G7" s="17"/>
      <c r="H7" s="17"/>
      <c r="I7" s="17" t="s">
        <v>76</v>
      </c>
      <c r="J7" s="17">
        <v>203</v>
      </c>
      <c r="K7" s="17"/>
      <c r="L7" s="30"/>
      <c r="N7" s="28"/>
      <c r="O7" s="17">
        <v>18000</v>
      </c>
      <c r="P7" s="29">
        <f t="shared" si="0"/>
        <v>29.2357</v>
      </c>
      <c r="R7" s="12"/>
      <c r="S7" s="12"/>
      <c r="T7" s="28"/>
    </row>
    <row r="8" s="8" customFormat="1" spans="1:20">
      <c r="A8" s="10"/>
      <c r="B8" s="10"/>
      <c r="C8" s="10"/>
      <c r="D8" s="10"/>
      <c r="E8" s="10"/>
      <c r="F8" s="18"/>
      <c r="G8" s="12"/>
      <c r="H8" s="12"/>
      <c r="I8" s="12">
        <v>0</v>
      </c>
      <c r="J8" s="12">
        <v>406</v>
      </c>
      <c r="K8" s="12">
        <v>0</v>
      </c>
      <c r="L8" s="30" t="s">
        <v>77</v>
      </c>
      <c r="N8" s="28"/>
      <c r="O8" s="17">
        <v>18850</v>
      </c>
      <c r="P8" s="29">
        <f t="shared" si="0"/>
        <v>32.029225</v>
      </c>
      <c r="R8" s="17"/>
      <c r="S8" s="17"/>
      <c r="T8" s="28"/>
    </row>
    <row r="9" s="8" customFormat="1" spans="1:20">
      <c r="A9" s="10"/>
      <c r="B9" s="10"/>
      <c r="C9" s="10"/>
      <c r="D9" s="10"/>
      <c r="E9" s="10"/>
      <c r="F9" s="18"/>
      <c r="G9" s="12"/>
      <c r="H9" s="12"/>
      <c r="I9" s="12">
        <v>7600</v>
      </c>
      <c r="J9" s="12">
        <v>305</v>
      </c>
      <c r="K9" s="12"/>
      <c r="L9" s="30"/>
      <c r="N9" s="28"/>
      <c r="O9" s="17"/>
      <c r="P9" s="29"/>
      <c r="R9" s="17"/>
      <c r="S9" s="17"/>
      <c r="T9" s="28"/>
    </row>
    <row r="10" s="8" customFormat="1" spans="1:20">
      <c r="A10" s="19"/>
      <c r="B10" s="19"/>
      <c r="C10" s="19"/>
      <c r="D10" s="19"/>
      <c r="E10" s="19"/>
      <c r="F10" s="20"/>
      <c r="G10" s="21"/>
      <c r="H10" s="21"/>
      <c r="I10" s="21">
        <v>10000</v>
      </c>
      <c r="J10" s="21">
        <v>269</v>
      </c>
      <c r="K10" s="21">
        <v>0</v>
      </c>
      <c r="L10" s="31" t="s">
        <v>77</v>
      </c>
      <c r="N10" s="28"/>
      <c r="O10" s="17"/>
      <c r="P10" s="29"/>
      <c r="T10" s="28"/>
    </row>
    <row r="11" s="8" customFormat="1" spans="1:20">
      <c r="A11" s="8">
        <v>1916</v>
      </c>
      <c r="B11" s="8" t="s">
        <v>16</v>
      </c>
      <c r="C11" s="8" t="s">
        <v>20</v>
      </c>
      <c r="D11" s="8" t="s">
        <v>21</v>
      </c>
      <c r="E11" s="8" t="s">
        <v>19</v>
      </c>
      <c r="F11" s="22" t="s">
        <v>69</v>
      </c>
      <c r="G11" s="17">
        <v>5000</v>
      </c>
      <c r="H11" s="17">
        <v>2.3</v>
      </c>
      <c r="I11" s="17">
        <v>10200</v>
      </c>
      <c r="J11" s="17">
        <v>305</v>
      </c>
      <c r="K11" s="17">
        <v>0</v>
      </c>
      <c r="L11" s="27" t="s">
        <v>70</v>
      </c>
      <c r="N11" s="28" t="s">
        <v>78</v>
      </c>
      <c r="O11" s="17">
        <v>9000</v>
      </c>
      <c r="P11" s="29">
        <f t="shared" ref="P11:P15" si="1">0.00000005*O11^2+0.00002*O11+0.9214</f>
        <v>5.1514</v>
      </c>
      <c r="R11" s="17"/>
      <c r="S11" s="17"/>
      <c r="T11" s="28" t="s">
        <v>79</v>
      </c>
    </row>
    <row r="12" s="8" customFormat="1" spans="1:20">
      <c r="A12" s="10"/>
      <c r="B12" s="10"/>
      <c r="C12" s="10"/>
      <c r="D12" s="10"/>
      <c r="E12" s="10"/>
      <c r="F12" s="11"/>
      <c r="G12" s="12">
        <v>7500</v>
      </c>
      <c r="H12" s="12">
        <v>4.1</v>
      </c>
      <c r="I12" s="12">
        <v>8400</v>
      </c>
      <c r="J12" s="12">
        <v>305</v>
      </c>
      <c r="K12" s="12">
        <v>30</v>
      </c>
      <c r="L12" s="30" t="s">
        <v>70</v>
      </c>
      <c r="N12" s="32"/>
      <c r="O12" s="17">
        <v>13500</v>
      </c>
      <c r="P12" s="29">
        <f t="shared" si="1"/>
        <v>10.3039</v>
      </c>
      <c r="R12" s="12"/>
      <c r="S12" s="12"/>
      <c r="T12" s="32"/>
    </row>
    <row r="13" s="8" customFormat="1" spans="1:20">
      <c r="A13" s="10"/>
      <c r="B13" s="10"/>
      <c r="C13" s="10"/>
      <c r="D13" s="10"/>
      <c r="E13" s="10"/>
      <c r="F13" s="11"/>
      <c r="G13" s="12">
        <v>10000</v>
      </c>
      <c r="H13" s="12">
        <v>6.3</v>
      </c>
      <c r="I13" s="12" t="s">
        <v>80</v>
      </c>
      <c r="J13" s="12">
        <v>305</v>
      </c>
      <c r="K13" s="12"/>
      <c r="L13" s="30"/>
      <c r="N13" s="32"/>
      <c r="O13" s="17">
        <v>16500</v>
      </c>
      <c r="P13" s="29">
        <f t="shared" si="1"/>
        <v>14.8639</v>
      </c>
      <c r="R13" s="12"/>
      <c r="S13" s="12"/>
      <c r="T13" s="32"/>
    </row>
    <row r="14" s="8" customFormat="1" spans="1:20">
      <c r="A14" s="10"/>
      <c r="B14" s="10"/>
      <c r="C14" s="10"/>
      <c r="D14" s="10"/>
      <c r="E14" s="10"/>
      <c r="F14" s="11"/>
      <c r="G14" s="12">
        <v>12500</v>
      </c>
      <c r="H14" s="12">
        <v>9.3</v>
      </c>
      <c r="I14" s="12" t="s">
        <v>75</v>
      </c>
      <c r="J14" s="12">
        <v>244</v>
      </c>
      <c r="K14" s="12"/>
      <c r="L14" s="30"/>
      <c r="N14" s="32"/>
      <c r="O14" s="17">
        <v>19500</v>
      </c>
      <c r="P14" s="29">
        <f t="shared" si="1"/>
        <v>20.3239</v>
      </c>
      <c r="R14" s="12"/>
      <c r="S14" s="12"/>
      <c r="T14" s="32"/>
    </row>
    <row r="15" s="8" customFormat="1" spans="1:20">
      <c r="A15" s="10"/>
      <c r="B15" s="10"/>
      <c r="C15" s="10"/>
      <c r="D15" s="10"/>
      <c r="E15" s="10"/>
      <c r="F15" s="11"/>
      <c r="G15" s="12">
        <v>15000</v>
      </c>
      <c r="H15" s="23">
        <v>13</v>
      </c>
      <c r="I15" s="12" t="s">
        <v>76</v>
      </c>
      <c r="J15" s="12">
        <v>228</v>
      </c>
      <c r="K15" s="12"/>
      <c r="L15" s="30"/>
      <c r="N15" s="32"/>
      <c r="O15" s="17">
        <v>21200</v>
      </c>
      <c r="P15" s="29">
        <f t="shared" si="1"/>
        <v>23.8174</v>
      </c>
      <c r="R15" s="12"/>
      <c r="S15" s="12"/>
      <c r="T15" s="32"/>
    </row>
    <row r="16" s="8" customFormat="1" spans="1:20">
      <c r="A16" s="10"/>
      <c r="B16" s="10"/>
      <c r="C16" s="10"/>
      <c r="D16" s="10"/>
      <c r="E16" s="10"/>
      <c r="F16" s="11"/>
      <c r="G16" s="12">
        <v>17500</v>
      </c>
      <c r="H16" s="12">
        <v>17.3</v>
      </c>
      <c r="I16" s="12">
        <v>0</v>
      </c>
      <c r="J16" s="12">
        <v>427</v>
      </c>
      <c r="K16" s="12">
        <v>0</v>
      </c>
      <c r="L16" s="30" t="s">
        <v>77</v>
      </c>
      <c r="N16" s="32"/>
      <c r="O16" s="17"/>
      <c r="P16" s="29"/>
      <c r="R16" s="12"/>
      <c r="S16" s="12"/>
      <c r="T16" s="32"/>
    </row>
    <row r="17" s="8" customFormat="1" spans="1:20">
      <c r="A17" s="10"/>
      <c r="B17" s="10"/>
      <c r="C17" s="10"/>
      <c r="D17" s="10"/>
      <c r="E17" s="10"/>
      <c r="F17" s="11"/>
      <c r="G17" s="12">
        <v>20000</v>
      </c>
      <c r="H17" s="12">
        <v>22.2</v>
      </c>
      <c r="I17" s="12">
        <v>10000</v>
      </c>
      <c r="J17" s="12">
        <v>284</v>
      </c>
      <c r="K17" s="12">
        <v>0</v>
      </c>
      <c r="L17" s="30" t="s">
        <v>77</v>
      </c>
      <c r="N17" s="32"/>
      <c r="O17" s="17"/>
      <c r="P17" s="29"/>
      <c r="R17" s="12"/>
      <c r="S17" s="12"/>
      <c r="T17" s="32"/>
    </row>
    <row r="18" s="8" customFormat="1" spans="1:20">
      <c r="A18" s="19"/>
      <c r="B18" s="19"/>
      <c r="C18" s="19"/>
      <c r="D18" s="19"/>
      <c r="E18" s="19"/>
      <c r="F18" s="24"/>
      <c r="G18" s="21">
        <v>21200</v>
      </c>
      <c r="H18" s="21"/>
      <c r="I18" s="21"/>
      <c r="J18" s="21"/>
      <c r="K18" s="21"/>
      <c r="L18" s="31"/>
      <c r="N18" s="32"/>
      <c r="O18" s="17"/>
      <c r="P18" s="29"/>
      <c r="T18" s="32"/>
    </row>
    <row r="19" s="8" customFormat="1" spans="1:16">
      <c r="A19" s="8">
        <v>1916</v>
      </c>
      <c r="B19" s="8" t="s">
        <v>16</v>
      </c>
      <c r="C19" s="8" t="s">
        <v>33</v>
      </c>
      <c r="D19" s="8" t="s">
        <v>81</v>
      </c>
      <c r="E19" s="8" t="s">
        <v>35</v>
      </c>
      <c r="F19" s="22" t="s">
        <v>69</v>
      </c>
      <c r="G19" s="17">
        <v>18630</v>
      </c>
      <c r="H19" s="17"/>
      <c r="I19" s="17">
        <v>0</v>
      </c>
      <c r="J19" s="17">
        <v>406</v>
      </c>
      <c r="K19" s="17"/>
      <c r="L19" s="30"/>
      <c r="O19" s="17"/>
      <c r="P19" s="29"/>
    </row>
    <row r="20" s="8" customFormat="1" spans="1:16">
      <c r="A20" s="10"/>
      <c r="B20" s="10"/>
      <c r="C20" s="10"/>
      <c r="D20" s="10"/>
      <c r="E20" s="10"/>
      <c r="F20" s="11"/>
      <c r="G20" s="12"/>
      <c r="H20" s="12"/>
      <c r="I20" s="12">
        <v>7600</v>
      </c>
      <c r="J20" s="12">
        <v>305</v>
      </c>
      <c r="K20" s="12"/>
      <c r="L20" s="30"/>
      <c r="O20" s="17"/>
      <c r="P20" s="29"/>
    </row>
    <row r="21" s="8" customFormat="1" spans="1:16">
      <c r="A21" s="10"/>
      <c r="B21" s="10"/>
      <c r="C21" s="10"/>
      <c r="D21" s="10"/>
      <c r="E21" s="10"/>
      <c r="F21" s="11"/>
      <c r="G21" s="12"/>
      <c r="H21" s="12"/>
      <c r="I21" s="12">
        <v>10000</v>
      </c>
      <c r="J21" s="12">
        <v>269</v>
      </c>
      <c r="K21" s="12"/>
      <c r="L21" s="30"/>
      <c r="O21" s="17"/>
      <c r="P21" s="29"/>
    </row>
    <row r="22" s="8" customFormat="1" spans="1:20">
      <c r="A22" s="13">
        <v>1916</v>
      </c>
      <c r="B22" s="13" t="s">
        <v>16</v>
      </c>
      <c r="C22" s="13" t="s">
        <v>82</v>
      </c>
      <c r="D22" s="13" t="s">
        <v>23</v>
      </c>
      <c r="E22" s="13" t="s">
        <v>24</v>
      </c>
      <c r="F22" s="25" t="s">
        <v>83</v>
      </c>
      <c r="G22" s="15">
        <v>2500</v>
      </c>
      <c r="H22" s="15">
        <v>1.23</v>
      </c>
      <c r="I22" s="15">
        <v>16400</v>
      </c>
      <c r="J22" s="15">
        <v>305</v>
      </c>
      <c r="K22" s="15">
        <v>0</v>
      </c>
      <c r="L22" s="27" t="s">
        <v>70</v>
      </c>
      <c r="N22" s="28" t="s">
        <v>84</v>
      </c>
      <c r="O22" s="17">
        <v>8500</v>
      </c>
      <c r="P22" s="29">
        <f t="shared" ref="P22:P27" si="2">0.00000004*O22^2+0.0002*O22+0.4418</f>
        <v>5.0318</v>
      </c>
      <c r="R22" s="17"/>
      <c r="S22" s="17"/>
      <c r="T22" s="28" t="s">
        <v>85</v>
      </c>
    </row>
    <row r="23" s="8" customFormat="1" spans="1:20">
      <c r="A23" s="10"/>
      <c r="B23" s="10"/>
      <c r="C23" s="10" t="s">
        <v>86</v>
      </c>
      <c r="D23" s="8" t="s">
        <v>87</v>
      </c>
      <c r="E23" s="10"/>
      <c r="F23" s="11"/>
      <c r="G23" s="12">
        <v>5000</v>
      </c>
      <c r="H23" s="12">
        <v>2.75</v>
      </c>
      <c r="I23" s="17">
        <v>11400</v>
      </c>
      <c r="J23" s="17">
        <v>305</v>
      </c>
      <c r="K23" s="17">
        <v>30</v>
      </c>
      <c r="L23" s="30" t="s">
        <v>70</v>
      </c>
      <c r="N23" s="28"/>
      <c r="O23" s="17">
        <v>13000</v>
      </c>
      <c r="P23" s="29">
        <f t="shared" si="2"/>
        <v>9.8018</v>
      </c>
      <c r="R23" s="17"/>
      <c r="S23" s="17"/>
      <c r="T23" s="32"/>
    </row>
    <row r="24" s="8" customFormat="1" spans="1:20">
      <c r="A24" s="10"/>
      <c r="B24" s="10"/>
      <c r="C24" s="10"/>
      <c r="D24" s="10"/>
      <c r="E24" s="10"/>
      <c r="F24" s="11"/>
      <c r="G24" s="12">
        <v>7500</v>
      </c>
      <c r="H24" s="12">
        <v>4.65</v>
      </c>
      <c r="I24" s="12">
        <v>0</v>
      </c>
      <c r="J24" s="12">
        <v>439</v>
      </c>
      <c r="K24" s="12">
        <v>0</v>
      </c>
      <c r="L24" s="30" t="s">
        <v>77</v>
      </c>
      <c r="N24" s="28"/>
      <c r="O24" s="17">
        <v>17000</v>
      </c>
      <c r="P24" s="29">
        <f t="shared" si="2"/>
        <v>15.4018</v>
      </c>
      <c r="R24" s="17"/>
      <c r="S24" s="17"/>
      <c r="T24" s="32"/>
    </row>
    <row r="25" s="8" customFormat="1" spans="1:20">
      <c r="A25" s="10"/>
      <c r="B25" s="10"/>
      <c r="C25" s="10"/>
      <c r="D25" s="10"/>
      <c r="E25" s="10"/>
      <c r="F25" s="11"/>
      <c r="G25" s="12">
        <v>10000</v>
      </c>
      <c r="H25" s="12">
        <v>7.03</v>
      </c>
      <c r="I25" s="12">
        <v>10000</v>
      </c>
      <c r="J25" s="12">
        <v>318</v>
      </c>
      <c r="K25" s="12">
        <v>0</v>
      </c>
      <c r="L25" s="30" t="s">
        <v>77</v>
      </c>
      <c r="N25" s="28"/>
      <c r="O25" s="17">
        <v>19500</v>
      </c>
      <c r="P25" s="29">
        <f t="shared" si="2"/>
        <v>19.5518</v>
      </c>
      <c r="R25" s="17"/>
      <c r="S25" s="17"/>
      <c r="T25" s="32"/>
    </row>
    <row r="26" s="8" customFormat="1" spans="1:20">
      <c r="A26" s="10"/>
      <c r="B26" s="10"/>
      <c r="C26" s="10"/>
      <c r="D26" s="10"/>
      <c r="E26" s="10"/>
      <c r="F26" s="11"/>
      <c r="G26" s="12">
        <v>12500</v>
      </c>
      <c r="H26" s="11">
        <v>9.9</v>
      </c>
      <c r="I26" s="12"/>
      <c r="J26" s="12"/>
      <c r="K26" s="12"/>
      <c r="L26" s="30"/>
      <c r="N26" s="28"/>
      <c r="O26" s="17">
        <v>22500</v>
      </c>
      <c r="P26" s="29">
        <f t="shared" si="2"/>
        <v>25.1918</v>
      </c>
      <c r="T26" s="32"/>
    </row>
    <row r="27" s="8" customFormat="1" spans="1:20">
      <c r="A27" s="10"/>
      <c r="B27" s="10"/>
      <c r="C27" s="10"/>
      <c r="D27" s="10"/>
      <c r="E27" s="10"/>
      <c r="F27" s="11"/>
      <c r="G27" s="12">
        <v>15000</v>
      </c>
      <c r="H27" s="18">
        <v>13.4</v>
      </c>
      <c r="I27" s="12"/>
      <c r="J27" s="12"/>
      <c r="K27" s="12"/>
      <c r="L27" s="30"/>
      <c r="N27" s="28"/>
      <c r="O27" s="17">
        <v>23740</v>
      </c>
      <c r="P27" s="29">
        <f t="shared" si="2"/>
        <v>27.733304</v>
      </c>
      <c r="T27" s="32"/>
    </row>
    <row r="28" s="8" customFormat="1" spans="1:20">
      <c r="A28" s="10"/>
      <c r="B28" s="10"/>
      <c r="C28" s="10"/>
      <c r="D28" s="10"/>
      <c r="E28" s="10"/>
      <c r="F28" s="11"/>
      <c r="G28" s="12">
        <v>17500</v>
      </c>
      <c r="H28" s="12">
        <v>17.5</v>
      </c>
      <c r="I28" s="12"/>
      <c r="J28" s="12"/>
      <c r="K28" s="12"/>
      <c r="L28" s="30"/>
      <c r="N28" s="28"/>
      <c r="O28" s="17"/>
      <c r="P28" s="29"/>
      <c r="T28" s="32"/>
    </row>
    <row r="29" s="8" customFormat="1" spans="1:20">
      <c r="A29" s="10"/>
      <c r="B29" s="10"/>
      <c r="C29" s="10"/>
      <c r="D29" s="10"/>
      <c r="E29" s="10"/>
      <c r="F29" s="11"/>
      <c r="G29" s="12">
        <v>20000</v>
      </c>
      <c r="H29" s="12">
        <v>22</v>
      </c>
      <c r="I29" s="12"/>
      <c r="J29" s="12"/>
      <c r="K29" s="12"/>
      <c r="L29" s="30"/>
      <c r="N29" s="28"/>
      <c r="O29" s="17"/>
      <c r="P29" s="29"/>
      <c r="T29" s="32"/>
    </row>
    <row r="30" s="8" customFormat="1" spans="1:20">
      <c r="A30" s="19"/>
      <c r="B30" s="19"/>
      <c r="C30" s="19"/>
      <c r="D30" s="19"/>
      <c r="E30" s="19"/>
      <c r="F30" s="24"/>
      <c r="G30" s="21">
        <v>23740</v>
      </c>
      <c r="H30" s="21"/>
      <c r="I30" s="19"/>
      <c r="J30" s="19"/>
      <c r="K30" s="19"/>
      <c r="L30" s="33"/>
      <c r="N30" s="28"/>
      <c r="O30" s="17"/>
      <c r="P30" s="29"/>
      <c r="T30" s="32"/>
    </row>
    <row r="31" s="8" customFormat="1" spans="1:20">
      <c r="A31" s="10">
        <v>1916</v>
      </c>
      <c r="B31" s="10" t="s">
        <v>16</v>
      </c>
      <c r="C31" s="10" t="s">
        <v>25</v>
      </c>
      <c r="D31" s="10" t="s">
        <v>26</v>
      </c>
      <c r="E31" s="10" t="s">
        <v>27</v>
      </c>
      <c r="F31" s="25" t="s">
        <v>83</v>
      </c>
      <c r="G31" s="12">
        <v>2500</v>
      </c>
      <c r="H31" s="12">
        <v>1.23</v>
      </c>
      <c r="I31" s="12">
        <v>14000</v>
      </c>
      <c r="J31" s="12">
        <v>305</v>
      </c>
      <c r="K31" s="12">
        <v>0</v>
      </c>
      <c r="L31" s="27" t="s">
        <v>70</v>
      </c>
      <c r="N31" s="28" t="s">
        <v>88</v>
      </c>
      <c r="O31" s="17">
        <v>8500</v>
      </c>
      <c r="P31" s="29">
        <f t="shared" ref="P31:P36" si="3">0.00000004*O31^2+0.0002*O31+0.4718</f>
        <v>5.0618</v>
      </c>
      <c r="R31" s="17"/>
      <c r="S31" s="17"/>
      <c r="T31" s="28" t="s">
        <v>89</v>
      </c>
    </row>
    <row r="32" s="8" customFormat="1" spans="1:20">
      <c r="A32" s="10"/>
      <c r="B32" s="10"/>
      <c r="C32" s="10"/>
      <c r="D32" s="10"/>
      <c r="E32" s="10"/>
      <c r="F32" s="11"/>
      <c r="G32" s="12">
        <v>5000</v>
      </c>
      <c r="H32" s="12">
        <v>2.73</v>
      </c>
      <c r="I32" s="12">
        <v>9300</v>
      </c>
      <c r="J32" s="12">
        <v>305</v>
      </c>
      <c r="K32" s="12">
        <v>30</v>
      </c>
      <c r="L32" s="30" t="s">
        <v>70</v>
      </c>
      <c r="N32" s="28"/>
      <c r="O32" s="17">
        <v>13000</v>
      </c>
      <c r="P32" s="29">
        <f t="shared" si="3"/>
        <v>9.8318</v>
      </c>
      <c r="R32" s="17"/>
      <c r="S32" s="17"/>
      <c r="T32" s="32"/>
    </row>
    <row r="33" s="8" customFormat="1" spans="1:20">
      <c r="A33" s="10"/>
      <c r="B33" s="10"/>
      <c r="C33" s="10"/>
      <c r="D33" s="10"/>
      <c r="E33" s="10"/>
      <c r="F33" s="11"/>
      <c r="G33" s="12">
        <v>7500</v>
      </c>
      <c r="H33" s="12">
        <v>4.66</v>
      </c>
      <c r="I33" s="12">
        <v>0</v>
      </c>
      <c r="J33" s="12">
        <v>439</v>
      </c>
      <c r="K33" s="12">
        <v>0</v>
      </c>
      <c r="L33" s="30" t="s">
        <v>77</v>
      </c>
      <c r="N33" s="28"/>
      <c r="O33" s="17">
        <v>17000</v>
      </c>
      <c r="P33" s="29">
        <f t="shared" si="3"/>
        <v>15.4318</v>
      </c>
      <c r="R33" s="17"/>
      <c r="S33" s="17"/>
      <c r="T33" s="32"/>
    </row>
    <row r="34" s="8" customFormat="1" spans="1:20">
      <c r="A34" s="10"/>
      <c r="B34" s="10"/>
      <c r="C34" s="10"/>
      <c r="D34" s="10"/>
      <c r="E34" s="10"/>
      <c r="F34" s="11"/>
      <c r="G34" s="12">
        <v>10000</v>
      </c>
      <c r="H34" s="12">
        <v>7.08</v>
      </c>
      <c r="I34" s="12">
        <v>10000</v>
      </c>
      <c r="J34" s="12">
        <v>310</v>
      </c>
      <c r="K34" s="12">
        <v>0</v>
      </c>
      <c r="L34" s="30" t="s">
        <v>77</v>
      </c>
      <c r="N34" s="28"/>
      <c r="O34" s="17">
        <v>19500</v>
      </c>
      <c r="P34" s="29">
        <f t="shared" si="3"/>
        <v>19.5818</v>
      </c>
      <c r="R34" s="17"/>
      <c r="S34" s="17"/>
      <c r="T34" s="32"/>
    </row>
    <row r="35" s="8" customFormat="1" spans="1:20">
      <c r="A35" s="10"/>
      <c r="B35" s="10"/>
      <c r="C35" s="10"/>
      <c r="D35" s="10"/>
      <c r="E35" s="10"/>
      <c r="F35" s="11"/>
      <c r="G35" s="12">
        <v>12500</v>
      </c>
      <c r="H35" s="12">
        <v>10.11</v>
      </c>
      <c r="I35" s="12"/>
      <c r="J35" s="12"/>
      <c r="K35" s="12"/>
      <c r="L35" s="30"/>
      <c r="N35" s="28"/>
      <c r="O35" s="17">
        <v>22500</v>
      </c>
      <c r="P35" s="29">
        <f t="shared" si="3"/>
        <v>25.2218</v>
      </c>
      <c r="T35" s="32"/>
    </row>
    <row r="36" s="8" customFormat="1" spans="1:20">
      <c r="A36" s="10"/>
      <c r="B36" s="10"/>
      <c r="C36" s="10"/>
      <c r="D36" s="10"/>
      <c r="E36" s="10"/>
      <c r="F36" s="11"/>
      <c r="G36" s="12">
        <v>15000</v>
      </c>
      <c r="H36" s="12">
        <v>13.78</v>
      </c>
      <c r="I36" s="12"/>
      <c r="J36" s="12"/>
      <c r="K36" s="12"/>
      <c r="L36" s="30"/>
      <c r="N36" s="28"/>
      <c r="O36" s="17">
        <v>23820</v>
      </c>
      <c r="P36" s="29">
        <f t="shared" si="3"/>
        <v>27.931496</v>
      </c>
      <c r="T36" s="32"/>
    </row>
    <row r="37" s="8" customFormat="1" spans="1:20">
      <c r="A37" s="10"/>
      <c r="B37" s="10"/>
      <c r="C37" s="10"/>
      <c r="D37" s="10"/>
      <c r="E37" s="10"/>
      <c r="F37" s="11"/>
      <c r="G37" s="12">
        <v>17500</v>
      </c>
      <c r="H37" s="12">
        <v>18</v>
      </c>
      <c r="I37" s="12"/>
      <c r="J37" s="12"/>
      <c r="K37" s="12"/>
      <c r="L37" s="30"/>
      <c r="N37" s="28"/>
      <c r="O37" s="17"/>
      <c r="P37" s="29"/>
      <c r="T37" s="32"/>
    </row>
    <row r="38" s="8" customFormat="1" spans="1:20">
      <c r="A38" s="10"/>
      <c r="B38" s="10"/>
      <c r="C38" s="10"/>
      <c r="D38" s="10"/>
      <c r="E38" s="10"/>
      <c r="F38" s="11"/>
      <c r="G38" s="12">
        <v>20000</v>
      </c>
      <c r="H38" s="12">
        <v>22.73</v>
      </c>
      <c r="I38" s="12"/>
      <c r="J38" s="12"/>
      <c r="K38" s="12"/>
      <c r="L38" s="30"/>
      <c r="N38" s="28"/>
      <c r="O38" s="17"/>
      <c r="P38" s="29"/>
      <c r="T38" s="32"/>
    </row>
    <row r="39" s="8" customFormat="1" spans="1:20">
      <c r="A39" s="10"/>
      <c r="B39" s="10"/>
      <c r="C39" s="10"/>
      <c r="D39" s="10"/>
      <c r="E39" s="10"/>
      <c r="F39" s="11"/>
      <c r="G39" s="12">
        <v>23820</v>
      </c>
      <c r="H39" s="12"/>
      <c r="I39" s="12"/>
      <c r="J39" s="12"/>
      <c r="K39" s="12"/>
      <c r="L39" s="30"/>
      <c r="N39" s="28"/>
      <c r="O39" s="17"/>
      <c r="P39" s="29"/>
      <c r="T39" s="32"/>
    </row>
    <row r="40" s="8" customFormat="1" spans="1:16">
      <c r="A40" s="13">
        <v>1916</v>
      </c>
      <c r="B40" s="13" t="s">
        <v>16</v>
      </c>
      <c r="C40" s="13" t="s">
        <v>31</v>
      </c>
      <c r="D40" s="13" t="s">
        <v>32</v>
      </c>
      <c r="E40" s="13" t="s">
        <v>24</v>
      </c>
      <c r="F40" s="25">
        <v>2</v>
      </c>
      <c r="G40" s="15">
        <v>2500</v>
      </c>
      <c r="H40" s="15">
        <v>1.27</v>
      </c>
      <c r="I40" s="15"/>
      <c r="J40" s="15"/>
      <c r="K40" s="15"/>
      <c r="L40" s="27"/>
      <c r="N40" s="28" t="s">
        <v>90</v>
      </c>
      <c r="O40" s="17">
        <v>7500</v>
      </c>
      <c r="P40" s="29">
        <f t="shared" ref="P40:P46" si="4">0.00000004*O40^2+0.0003*O40+0.4534</f>
        <v>4.9534</v>
      </c>
    </row>
    <row r="41" s="8" customFormat="1" spans="1:16">
      <c r="A41" s="10"/>
      <c r="B41" s="10"/>
      <c r="C41" s="10"/>
      <c r="D41" s="10"/>
      <c r="E41" s="10"/>
      <c r="F41" s="11"/>
      <c r="G41" s="12">
        <v>5000</v>
      </c>
      <c r="H41" s="12">
        <v>2.78</v>
      </c>
      <c r="I41" s="12"/>
      <c r="J41" s="12"/>
      <c r="K41" s="12"/>
      <c r="L41" s="30"/>
      <c r="N41" s="28"/>
      <c r="O41" s="17">
        <v>12000</v>
      </c>
      <c r="P41" s="29">
        <f t="shared" si="4"/>
        <v>9.8134</v>
      </c>
    </row>
    <row r="42" s="8" customFormat="1" spans="1:16">
      <c r="A42" s="10"/>
      <c r="B42" s="10"/>
      <c r="C42" s="10"/>
      <c r="D42" s="10"/>
      <c r="E42" s="10"/>
      <c r="F42" s="11"/>
      <c r="G42" s="12">
        <v>7500</v>
      </c>
      <c r="H42" s="18">
        <v>4.7</v>
      </c>
      <c r="I42" s="12"/>
      <c r="J42" s="12"/>
      <c r="K42" s="12"/>
      <c r="L42" s="30"/>
      <c r="N42" s="28"/>
      <c r="O42" s="17">
        <v>16000</v>
      </c>
      <c r="P42" s="29">
        <f t="shared" si="4"/>
        <v>15.4934</v>
      </c>
    </row>
    <row r="43" s="8" customFormat="1" spans="1:16">
      <c r="A43" s="10"/>
      <c r="B43" s="10"/>
      <c r="C43" s="10"/>
      <c r="D43" s="10"/>
      <c r="E43" s="10"/>
      <c r="F43" s="11"/>
      <c r="G43" s="12">
        <v>10000</v>
      </c>
      <c r="H43" s="12">
        <v>7</v>
      </c>
      <c r="I43" s="12"/>
      <c r="J43" s="12"/>
      <c r="K43" s="12"/>
      <c r="L43" s="30"/>
      <c r="N43" s="28"/>
      <c r="O43" s="17">
        <v>18500</v>
      </c>
      <c r="P43" s="29">
        <f t="shared" si="4"/>
        <v>19.6934</v>
      </c>
    </row>
    <row r="44" s="8" customFormat="1" spans="1:16">
      <c r="A44" s="10"/>
      <c r="B44" s="10"/>
      <c r="C44" s="10"/>
      <c r="D44" s="10"/>
      <c r="E44" s="10"/>
      <c r="F44" s="11"/>
      <c r="G44" s="12">
        <v>12500</v>
      </c>
      <c r="H44" s="12">
        <v>9.85</v>
      </c>
      <c r="I44" s="12"/>
      <c r="J44" s="12"/>
      <c r="K44" s="12"/>
      <c r="L44" s="30"/>
      <c r="N44" s="28"/>
      <c r="O44" s="17">
        <v>21500</v>
      </c>
      <c r="P44" s="29">
        <f t="shared" si="4"/>
        <v>25.3934</v>
      </c>
    </row>
    <row r="45" s="8" customFormat="1" spans="1:16">
      <c r="A45" s="10"/>
      <c r="B45" s="10"/>
      <c r="C45" s="10"/>
      <c r="D45" s="10"/>
      <c r="E45" s="10"/>
      <c r="F45" s="11"/>
      <c r="G45" s="12">
        <v>15000</v>
      </c>
      <c r="H45" s="12">
        <v>13.2</v>
      </c>
      <c r="I45" s="12"/>
      <c r="J45" s="12"/>
      <c r="K45" s="12"/>
      <c r="L45" s="30"/>
      <c r="N45" s="28"/>
      <c r="O45" s="17">
        <v>24000</v>
      </c>
      <c r="P45" s="29">
        <f t="shared" si="4"/>
        <v>30.6934</v>
      </c>
    </row>
    <row r="46" s="8" customFormat="1" spans="1:16">
      <c r="A46" s="10"/>
      <c r="B46" s="10"/>
      <c r="C46" s="10"/>
      <c r="D46" s="10"/>
      <c r="E46" s="10"/>
      <c r="F46" s="11"/>
      <c r="G46" s="12">
        <v>17500</v>
      </c>
      <c r="H46" s="12">
        <v>17.13</v>
      </c>
      <c r="I46" s="12"/>
      <c r="J46" s="12"/>
      <c r="K46" s="12"/>
      <c r="L46" s="30"/>
      <c r="N46" s="28"/>
      <c r="O46" s="17">
        <v>24400</v>
      </c>
      <c r="P46" s="29">
        <f t="shared" si="4"/>
        <v>31.5878</v>
      </c>
    </row>
    <row r="47" s="8" customFormat="1" spans="1:16">
      <c r="A47" s="10"/>
      <c r="B47" s="10"/>
      <c r="C47" s="10"/>
      <c r="D47" s="10"/>
      <c r="E47" s="10"/>
      <c r="F47" s="11"/>
      <c r="G47" s="12">
        <v>20000</v>
      </c>
      <c r="H47" s="12">
        <v>21.58</v>
      </c>
      <c r="I47" s="12"/>
      <c r="J47" s="12"/>
      <c r="K47" s="12"/>
      <c r="L47" s="30"/>
      <c r="N47" s="28"/>
      <c r="O47" s="17"/>
      <c r="P47" s="29"/>
    </row>
    <row r="48" s="8" customFormat="1" spans="1:16">
      <c r="A48" s="10"/>
      <c r="B48" s="10"/>
      <c r="C48" s="10"/>
      <c r="D48" s="10"/>
      <c r="E48" s="10"/>
      <c r="F48" s="11"/>
      <c r="G48" s="12">
        <v>22500</v>
      </c>
      <c r="H48" s="12">
        <v>26.5</v>
      </c>
      <c r="I48" s="12"/>
      <c r="J48" s="12"/>
      <c r="K48" s="12"/>
      <c r="L48" s="30"/>
      <c r="N48" s="28"/>
      <c r="O48" s="17"/>
      <c r="P48" s="29"/>
    </row>
    <row r="49" s="8" customFormat="1" spans="1:16">
      <c r="A49" s="10"/>
      <c r="B49" s="10"/>
      <c r="C49" s="10"/>
      <c r="D49" s="10"/>
      <c r="E49" s="10"/>
      <c r="F49" s="11"/>
      <c r="G49" s="12">
        <v>24000</v>
      </c>
      <c r="H49" s="12">
        <v>29.55</v>
      </c>
      <c r="I49" s="12"/>
      <c r="J49" s="12"/>
      <c r="K49" s="12"/>
      <c r="L49" s="30"/>
      <c r="N49" s="28"/>
      <c r="O49" s="17"/>
      <c r="P49" s="29"/>
    </row>
    <row r="50" s="8" customFormat="1" spans="1:16">
      <c r="A50" s="19"/>
      <c r="B50" s="19"/>
      <c r="C50" s="19"/>
      <c r="D50" s="19"/>
      <c r="E50" s="19"/>
      <c r="F50" s="24"/>
      <c r="G50" s="21">
        <v>24400</v>
      </c>
      <c r="H50" s="21"/>
      <c r="I50" s="21"/>
      <c r="J50" s="21"/>
      <c r="K50" s="21"/>
      <c r="L50" s="31"/>
      <c r="N50" s="28"/>
      <c r="O50" s="17"/>
      <c r="P50" s="29"/>
    </row>
    <row r="51" s="8" customFormat="1" spans="1:20">
      <c r="A51" s="10">
        <v>1916</v>
      </c>
      <c r="B51" s="10" t="s">
        <v>16</v>
      </c>
      <c r="C51" s="10" t="s">
        <v>28</v>
      </c>
      <c r="D51" s="10" t="s">
        <v>29</v>
      </c>
      <c r="E51" s="10" t="s">
        <v>30</v>
      </c>
      <c r="F51" s="11" t="s">
        <v>91</v>
      </c>
      <c r="G51" s="12">
        <v>1920</v>
      </c>
      <c r="H51" s="12">
        <v>1</v>
      </c>
      <c r="I51" s="12">
        <v>8629</v>
      </c>
      <c r="J51" s="12">
        <v>406</v>
      </c>
      <c r="K51" s="12">
        <v>0</v>
      </c>
      <c r="L51" s="30"/>
      <c r="N51" s="28" t="s">
        <v>92</v>
      </c>
      <c r="O51" s="17">
        <v>7500</v>
      </c>
      <c r="P51" s="29">
        <f t="shared" ref="P51:P56" si="5">0.00000004*O51^2+0.0003*O51+0.3509</f>
        <v>4.8509</v>
      </c>
      <c r="R51" s="12"/>
      <c r="S51" s="12"/>
      <c r="T51" s="28" t="s">
        <v>93</v>
      </c>
    </row>
    <row r="52" s="8" customFormat="1" spans="1:20">
      <c r="A52" s="10"/>
      <c r="B52" s="10"/>
      <c r="C52" s="10"/>
      <c r="D52" s="10"/>
      <c r="E52" s="10"/>
      <c r="F52" s="11"/>
      <c r="G52" s="12">
        <v>5000</v>
      </c>
      <c r="H52" s="12">
        <v>2.95</v>
      </c>
      <c r="I52" s="12">
        <v>14853</v>
      </c>
      <c r="J52" s="12">
        <v>305</v>
      </c>
      <c r="K52" s="12">
        <v>0</v>
      </c>
      <c r="L52" s="30"/>
      <c r="N52" s="28"/>
      <c r="O52" s="17">
        <v>12000</v>
      </c>
      <c r="P52" s="29">
        <f t="shared" si="5"/>
        <v>9.7109</v>
      </c>
      <c r="R52" s="12"/>
      <c r="S52" s="12"/>
      <c r="T52" s="32"/>
    </row>
    <row r="53" s="8" customFormat="1" spans="1:20">
      <c r="A53" s="10"/>
      <c r="B53" s="10"/>
      <c r="C53" s="10"/>
      <c r="D53" s="10"/>
      <c r="E53" s="10"/>
      <c r="F53" s="11"/>
      <c r="G53" s="12">
        <v>8629</v>
      </c>
      <c r="H53" s="12">
        <v>6</v>
      </c>
      <c r="I53" s="12">
        <v>19707</v>
      </c>
      <c r="J53" s="12">
        <v>279</v>
      </c>
      <c r="K53" s="12">
        <v>0</v>
      </c>
      <c r="L53" s="30"/>
      <c r="N53" s="28"/>
      <c r="O53" s="17">
        <v>16000</v>
      </c>
      <c r="P53" s="29">
        <f t="shared" si="5"/>
        <v>15.3909</v>
      </c>
      <c r="R53" s="12"/>
      <c r="S53" s="12"/>
      <c r="T53" s="32"/>
    </row>
    <row r="54" s="8" customFormat="1" spans="1:20">
      <c r="A54" s="10"/>
      <c r="B54" s="10"/>
      <c r="C54" s="10"/>
      <c r="D54" s="10"/>
      <c r="E54" s="10"/>
      <c r="F54" s="11"/>
      <c r="G54" s="12">
        <v>10000</v>
      </c>
      <c r="H54" s="12">
        <v>7.3</v>
      </c>
      <c r="I54" s="12">
        <v>23734</v>
      </c>
      <c r="J54" s="12">
        <v>229</v>
      </c>
      <c r="K54" s="12">
        <v>0</v>
      </c>
      <c r="L54" s="30"/>
      <c r="N54" s="28"/>
      <c r="O54" s="17">
        <v>18500</v>
      </c>
      <c r="P54" s="29">
        <f t="shared" si="5"/>
        <v>19.5909</v>
      </c>
      <c r="R54" s="12"/>
      <c r="S54" s="12"/>
      <c r="T54" s="32"/>
    </row>
    <row r="55" s="8" customFormat="1" spans="1:20">
      <c r="A55" s="10"/>
      <c r="B55" s="10"/>
      <c r="C55" s="10"/>
      <c r="D55" s="10"/>
      <c r="E55" s="10"/>
      <c r="F55" s="11"/>
      <c r="G55" s="12">
        <v>14853</v>
      </c>
      <c r="H55" s="12">
        <v>13</v>
      </c>
      <c r="I55" s="12">
        <v>0</v>
      </c>
      <c r="J55" s="12">
        <v>457</v>
      </c>
      <c r="K55" s="12">
        <v>0</v>
      </c>
      <c r="L55" s="30"/>
      <c r="N55" s="28"/>
      <c r="O55" s="17">
        <v>21500</v>
      </c>
      <c r="P55" s="29">
        <f t="shared" si="5"/>
        <v>25.2909</v>
      </c>
      <c r="R55" s="12"/>
      <c r="S55" s="12"/>
      <c r="T55" s="32"/>
    </row>
    <row r="56" s="8" customFormat="1" spans="1:20">
      <c r="A56" s="10"/>
      <c r="B56" s="10"/>
      <c r="C56" s="10"/>
      <c r="D56" s="10"/>
      <c r="E56" s="10"/>
      <c r="F56" s="11"/>
      <c r="G56" s="12">
        <v>15000</v>
      </c>
      <c r="H56" s="12">
        <v>13.55</v>
      </c>
      <c r="I56" s="12">
        <v>10000</v>
      </c>
      <c r="J56" s="12">
        <v>356</v>
      </c>
      <c r="K56" s="12">
        <v>0</v>
      </c>
      <c r="L56" s="30" t="s">
        <v>77</v>
      </c>
      <c r="N56" s="28"/>
      <c r="O56" s="17">
        <v>23734</v>
      </c>
      <c r="P56" s="29">
        <f t="shared" si="5"/>
        <v>30.00321024</v>
      </c>
      <c r="R56" s="12"/>
      <c r="S56" s="12"/>
      <c r="T56" s="32"/>
    </row>
    <row r="57" s="8" customFormat="1" spans="1:20">
      <c r="A57" s="10"/>
      <c r="B57" s="10"/>
      <c r="C57" s="10"/>
      <c r="D57" s="10"/>
      <c r="E57" s="10"/>
      <c r="F57" s="11"/>
      <c r="G57" s="12">
        <v>19707</v>
      </c>
      <c r="H57" s="12">
        <v>21</v>
      </c>
      <c r="I57" s="12">
        <v>10000</v>
      </c>
      <c r="J57" s="12">
        <v>335</v>
      </c>
      <c r="K57" s="12">
        <v>20</v>
      </c>
      <c r="L57" s="30" t="s">
        <v>77</v>
      </c>
      <c r="N57" s="28"/>
      <c r="O57" s="17"/>
      <c r="P57" s="29"/>
      <c r="R57" s="12"/>
      <c r="S57" s="12"/>
      <c r="T57" s="32"/>
    </row>
    <row r="58" s="8" customFormat="1" spans="1:20">
      <c r="A58" s="10"/>
      <c r="B58" s="10"/>
      <c r="C58" s="10"/>
      <c r="D58" s="10"/>
      <c r="E58" s="10"/>
      <c r="F58" s="11"/>
      <c r="G58" s="12">
        <v>20000</v>
      </c>
      <c r="H58" s="12">
        <v>22.25</v>
      </c>
      <c r="I58" s="12">
        <v>10000</v>
      </c>
      <c r="J58" s="12">
        <v>310</v>
      </c>
      <c r="K58" s="12">
        <v>30</v>
      </c>
      <c r="L58" s="30" t="s">
        <v>77</v>
      </c>
      <c r="N58" s="28"/>
      <c r="O58" s="17"/>
      <c r="P58" s="29"/>
      <c r="R58" s="12"/>
      <c r="S58" s="12"/>
      <c r="T58" s="32"/>
    </row>
    <row r="59" s="8" customFormat="1" spans="1:20">
      <c r="A59" s="19"/>
      <c r="B59" s="19"/>
      <c r="C59" s="19"/>
      <c r="D59" s="19"/>
      <c r="E59" s="19"/>
      <c r="F59" s="24"/>
      <c r="G59" s="21">
        <v>23734</v>
      </c>
      <c r="H59" s="21">
        <v>29</v>
      </c>
      <c r="I59" s="21"/>
      <c r="J59" s="21"/>
      <c r="K59" s="21"/>
      <c r="L59" s="31"/>
      <c r="N59" s="28"/>
      <c r="O59" s="17"/>
      <c r="P59" s="29"/>
      <c r="T59" s="32"/>
    </row>
    <row r="60" spans="15:16">
      <c r="O60" s="17"/>
      <c r="P60" s="29"/>
    </row>
    <row r="61" s="8" customFormat="1" spans="1:16">
      <c r="A61" s="13">
        <v>1916</v>
      </c>
      <c r="B61" s="13" t="s">
        <v>36</v>
      </c>
      <c r="C61" s="13" t="s">
        <v>37</v>
      </c>
      <c r="D61" s="13" t="s">
        <v>38</v>
      </c>
      <c r="E61" s="13" t="s">
        <v>39</v>
      </c>
      <c r="F61" s="25">
        <v>3</v>
      </c>
      <c r="G61" s="15" t="s">
        <v>94</v>
      </c>
      <c r="H61" s="15"/>
      <c r="I61" s="15" t="s">
        <v>95</v>
      </c>
      <c r="J61" s="15">
        <v>283</v>
      </c>
      <c r="K61" s="15">
        <v>0</v>
      </c>
      <c r="L61" s="27"/>
      <c r="N61" s="28" t="s">
        <v>96</v>
      </c>
      <c r="O61" s="17">
        <v>8000</v>
      </c>
      <c r="P61" s="29">
        <f t="shared" ref="P61:P68" si="6">0.00000007*O61^2-0.0001*O61+1.4152</f>
        <v>5.0952</v>
      </c>
    </row>
    <row r="62" s="8" customFormat="1" spans="1:16">
      <c r="A62" s="10"/>
      <c r="B62" s="10"/>
      <c r="C62" s="10"/>
      <c r="D62" s="10"/>
      <c r="E62" s="10"/>
      <c r="F62" s="11"/>
      <c r="G62" s="26">
        <f>20980*1.0936133</f>
        <v>22944.007034</v>
      </c>
      <c r="H62" s="12"/>
      <c r="I62" s="12" t="s">
        <v>95</v>
      </c>
      <c r="J62" s="12">
        <v>279</v>
      </c>
      <c r="K62" s="12">
        <v>30</v>
      </c>
      <c r="L62" s="30" t="s">
        <v>97</v>
      </c>
      <c r="N62" s="28"/>
      <c r="O62" s="17">
        <v>12000</v>
      </c>
      <c r="P62" s="29">
        <f t="shared" si="6"/>
        <v>10.2952</v>
      </c>
    </row>
    <row r="63" s="8" customFormat="1" spans="1:16">
      <c r="A63" s="10"/>
      <c r="B63" s="10"/>
      <c r="C63" s="10"/>
      <c r="D63" s="10"/>
      <c r="E63" s="10"/>
      <c r="F63" s="11"/>
      <c r="G63" s="12"/>
      <c r="H63" s="12"/>
      <c r="I63" s="12" t="s">
        <v>98</v>
      </c>
      <c r="J63" s="12">
        <v>280</v>
      </c>
      <c r="K63" s="12"/>
      <c r="L63" s="30" t="s">
        <v>99</v>
      </c>
      <c r="N63" s="28"/>
      <c r="O63" s="17">
        <v>14500</v>
      </c>
      <c r="P63" s="29">
        <f t="shared" si="6"/>
        <v>14.6827</v>
      </c>
    </row>
    <row r="64" s="8" customFormat="1" spans="6:16">
      <c r="F64" s="16"/>
      <c r="G64" s="17"/>
      <c r="H64" s="17"/>
      <c r="I64" s="17" t="s">
        <v>100</v>
      </c>
      <c r="J64" s="17">
        <v>200</v>
      </c>
      <c r="K64" s="17"/>
      <c r="L64" s="30" t="s">
        <v>99</v>
      </c>
      <c r="N64" s="28"/>
      <c r="O64" s="17">
        <v>17000</v>
      </c>
      <c r="P64" s="29">
        <f t="shared" si="6"/>
        <v>19.9452</v>
      </c>
    </row>
    <row r="65" s="8" customFormat="1" spans="1:16">
      <c r="A65" s="10"/>
      <c r="B65" s="10"/>
      <c r="C65" s="10"/>
      <c r="D65" s="10"/>
      <c r="E65" s="10"/>
      <c r="F65" s="11"/>
      <c r="G65" s="12"/>
      <c r="H65" s="12"/>
      <c r="I65" s="12"/>
      <c r="J65" s="12"/>
      <c r="K65" s="12"/>
      <c r="L65" s="30"/>
      <c r="N65" s="28"/>
      <c r="O65" s="17">
        <v>19000</v>
      </c>
      <c r="P65" s="29">
        <f t="shared" si="6"/>
        <v>24.7852</v>
      </c>
    </row>
    <row r="66" s="8" customFormat="1" spans="1:16">
      <c r="A66" s="10"/>
      <c r="B66" s="10"/>
      <c r="C66" s="10"/>
      <c r="D66" s="10"/>
      <c r="E66" s="10"/>
      <c r="F66" s="11"/>
      <c r="G66" s="12"/>
      <c r="H66" s="12"/>
      <c r="I66" s="12"/>
      <c r="J66" s="12"/>
      <c r="K66" s="12"/>
      <c r="L66" s="30"/>
      <c r="N66" s="28"/>
      <c r="O66" s="17">
        <v>21000</v>
      </c>
      <c r="P66" s="29">
        <f t="shared" si="6"/>
        <v>30.1852</v>
      </c>
    </row>
    <row r="67" s="8" customFormat="1" spans="1:16">
      <c r="A67" s="19"/>
      <c r="B67" s="19"/>
      <c r="C67" s="19"/>
      <c r="D67" s="19"/>
      <c r="E67" s="19"/>
      <c r="F67" s="24"/>
      <c r="G67" s="21"/>
      <c r="H67" s="21"/>
      <c r="I67" s="21"/>
      <c r="J67" s="21"/>
      <c r="K67" s="21"/>
      <c r="L67" s="31"/>
      <c r="N67" s="28"/>
      <c r="O67" s="17">
        <v>22944</v>
      </c>
      <c r="P67" s="29">
        <f t="shared" si="6"/>
        <v>35.97069952</v>
      </c>
    </row>
    <row r="68" s="8" customFormat="1" spans="1:16">
      <c r="A68" s="10">
        <v>1916</v>
      </c>
      <c r="B68" s="10" t="s">
        <v>36</v>
      </c>
      <c r="C68" s="10" t="s">
        <v>40</v>
      </c>
      <c r="D68" s="10" t="s">
        <v>41</v>
      </c>
      <c r="E68" s="10" t="s">
        <v>39</v>
      </c>
      <c r="F68" s="11">
        <v>3</v>
      </c>
      <c r="G68" s="12" t="s">
        <v>101</v>
      </c>
      <c r="H68" s="12"/>
      <c r="I68" s="12" t="s">
        <v>100</v>
      </c>
      <c r="J68" s="12">
        <v>285</v>
      </c>
      <c r="K68" s="12">
        <v>0</v>
      </c>
      <c r="L68" s="30" t="s">
        <v>102</v>
      </c>
      <c r="N68" s="28" t="s">
        <v>103</v>
      </c>
      <c r="O68" s="17">
        <v>8000</v>
      </c>
      <c r="P68" s="29">
        <f>0.000000065*O68^2-0.00005*O68+1.25</f>
        <v>5.01</v>
      </c>
    </row>
    <row r="69" s="8" customFormat="1" spans="1:16">
      <c r="A69" s="10"/>
      <c r="B69" s="10"/>
      <c r="C69" s="10"/>
      <c r="D69" s="10"/>
      <c r="E69" s="10"/>
      <c r="F69" s="11"/>
      <c r="G69" s="26">
        <f>19670*1.0936133</f>
        <v>21511.373611</v>
      </c>
      <c r="H69" s="12"/>
      <c r="I69" s="12" t="s">
        <v>104</v>
      </c>
      <c r="J69" s="12">
        <v>178</v>
      </c>
      <c r="K69" s="12">
        <v>30</v>
      </c>
      <c r="L69" s="30" t="s">
        <v>97</v>
      </c>
      <c r="N69" s="32"/>
      <c r="O69" s="17">
        <v>12000</v>
      </c>
      <c r="P69" s="29">
        <f t="shared" ref="P69:P74" si="7">0.000000065*O69^2-0.00005*O69+1.25</f>
        <v>10.01</v>
      </c>
    </row>
    <row r="70" s="8" customFormat="1" spans="1:16">
      <c r="A70" s="10"/>
      <c r="B70" s="10"/>
      <c r="C70" s="10"/>
      <c r="D70" s="10"/>
      <c r="E70" s="10"/>
      <c r="F70" s="11"/>
      <c r="G70" s="12"/>
      <c r="H70" s="12"/>
      <c r="I70" s="12" t="s">
        <v>105</v>
      </c>
      <c r="J70" s="12">
        <v>203</v>
      </c>
      <c r="K70" s="12">
        <v>30</v>
      </c>
      <c r="L70" s="30" t="s">
        <v>97</v>
      </c>
      <c r="N70" s="32"/>
      <c r="O70" s="17">
        <v>15000</v>
      </c>
      <c r="P70" s="29">
        <f t="shared" si="7"/>
        <v>15.125</v>
      </c>
    </row>
    <row r="71" s="8" customFormat="1" spans="1:16">
      <c r="A71" s="10"/>
      <c r="B71" s="10"/>
      <c r="C71" s="10"/>
      <c r="D71" s="10"/>
      <c r="E71" s="10"/>
      <c r="F71" s="11"/>
      <c r="G71" s="12"/>
      <c r="H71" s="12"/>
      <c r="I71" s="12"/>
      <c r="J71" s="12"/>
      <c r="K71" s="12"/>
      <c r="L71" s="30"/>
      <c r="N71" s="32"/>
      <c r="O71" s="17">
        <v>17500</v>
      </c>
      <c r="P71" s="29">
        <f t="shared" si="7"/>
        <v>20.28125</v>
      </c>
    </row>
    <row r="72" s="8" customFormat="1" spans="1:16">
      <c r="A72" s="10"/>
      <c r="B72" s="10"/>
      <c r="C72" s="10"/>
      <c r="D72" s="10"/>
      <c r="E72" s="10"/>
      <c r="F72" s="11"/>
      <c r="G72" s="12"/>
      <c r="H72" s="12"/>
      <c r="I72" s="12"/>
      <c r="J72" s="12"/>
      <c r="K72" s="12"/>
      <c r="L72" s="30"/>
      <c r="N72" s="32"/>
      <c r="O72" s="17">
        <v>19500</v>
      </c>
      <c r="P72" s="29">
        <f t="shared" si="7"/>
        <v>24.99125</v>
      </c>
    </row>
    <row r="73" s="8" customFormat="1" spans="1:16">
      <c r="A73" s="10"/>
      <c r="B73" s="10"/>
      <c r="C73" s="10"/>
      <c r="D73" s="10"/>
      <c r="E73" s="10"/>
      <c r="F73" s="11"/>
      <c r="G73" s="12"/>
      <c r="H73" s="12"/>
      <c r="I73" s="12"/>
      <c r="J73" s="12"/>
      <c r="K73" s="12"/>
      <c r="L73" s="30"/>
      <c r="N73" s="32"/>
      <c r="O73" s="17">
        <v>21500</v>
      </c>
      <c r="P73" s="29">
        <f t="shared" si="7"/>
        <v>30.22125</v>
      </c>
    </row>
    <row r="74" s="8" customFormat="1" spans="1:16">
      <c r="A74" s="10"/>
      <c r="B74" s="10"/>
      <c r="C74" s="10"/>
      <c r="D74" s="10"/>
      <c r="E74" s="10"/>
      <c r="F74" s="11"/>
      <c r="G74" s="12"/>
      <c r="H74" s="12"/>
      <c r="I74" s="12"/>
      <c r="J74" s="12"/>
      <c r="K74" s="12"/>
      <c r="L74" s="30"/>
      <c r="N74" s="32"/>
      <c r="O74" s="11">
        <v>21511</v>
      </c>
      <c r="P74" s="29">
        <f t="shared" si="7"/>
        <v>30.251452865</v>
      </c>
    </row>
    <row r="75" s="8" customFormat="1" spans="1:16">
      <c r="A75" s="13">
        <v>1916</v>
      </c>
      <c r="B75" s="13" t="s">
        <v>36</v>
      </c>
      <c r="C75" s="13" t="s">
        <v>42</v>
      </c>
      <c r="D75" s="13" t="s">
        <v>43</v>
      </c>
      <c r="E75" s="13" t="s">
        <v>44</v>
      </c>
      <c r="F75" s="14" t="s">
        <v>106</v>
      </c>
      <c r="G75" s="15" t="s">
        <v>107</v>
      </c>
      <c r="H75" s="15"/>
      <c r="I75" s="15" t="s">
        <v>100</v>
      </c>
      <c r="J75" s="15">
        <v>345</v>
      </c>
      <c r="K75" s="15">
        <v>0</v>
      </c>
      <c r="L75" s="27" t="s">
        <v>102</v>
      </c>
      <c r="N75" s="28" t="s">
        <v>108</v>
      </c>
      <c r="O75" s="17">
        <v>8500</v>
      </c>
      <c r="P75" s="29">
        <f t="shared" ref="P75:P80" si="8">0.00000005*O75^2+0.00004*O75+0.9173</f>
        <v>4.8698</v>
      </c>
    </row>
    <row r="76" s="8" customFormat="1" spans="1:16">
      <c r="A76" s="10"/>
      <c r="B76" s="10"/>
      <c r="C76" s="10"/>
      <c r="D76" s="10"/>
      <c r="E76" s="10"/>
      <c r="F76" s="11"/>
      <c r="G76" s="26">
        <f>20900*1.0936133</f>
        <v>22856.51797</v>
      </c>
      <c r="H76" s="12"/>
      <c r="I76" s="12" t="s">
        <v>109</v>
      </c>
      <c r="J76" s="12">
        <v>254</v>
      </c>
      <c r="K76" s="12">
        <v>30</v>
      </c>
      <c r="L76" s="30"/>
      <c r="N76" s="32"/>
      <c r="O76" s="17">
        <v>13000</v>
      </c>
      <c r="P76" s="29">
        <f t="shared" si="8"/>
        <v>9.8873</v>
      </c>
    </row>
    <row r="77" s="8" customFormat="1" spans="1:16">
      <c r="A77" s="10"/>
      <c r="B77" s="10"/>
      <c r="C77" s="10"/>
      <c r="D77" s="10"/>
      <c r="E77" s="10"/>
      <c r="F77" s="11"/>
      <c r="G77" s="12"/>
      <c r="H77" s="12"/>
      <c r="I77" s="12" t="s">
        <v>109</v>
      </c>
      <c r="J77" s="12">
        <v>229</v>
      </c>
      <c r="K77" s="12">
        <v>30</v>
      </c>
      <c r="L77" s="30" t="s">
        <v>97</v>
      </c>
      <c r="N77" s="32"/>
      <c r="O77" s="17">
        <v>16500</v>
      </c>
      <c r="P77" s="29">
        <f t="shared" si="8"/>
        <v>15.1898</v>
      </c>
    </row>
    <row r="78" s="8" customFormat="1" spans="1:16">
      <c r="A78" s="10"/>
      <c r="B78" s="10"/>
      <c r="C78" s="10"/>
      <c r="D78" s="10"/>
      <c r="E78" s="10"/>
      <c r="F78" s="11"/>
      <c r="G78" s="12"/>
      <c r="H78" s="12"/>
      <c r="I78" s="12" t="s">
        <v>110</v>
      </c>
      <c r="J78" s="12">
        <v>254</v>
      </c>
      <c r="K78" s="12">
        <v>30</v>
      </c>
      <c r="L78" s="30" t="s">
        <v>97</v>
      </c>
      <c r="N78" s="32"/>
      <c r="O78" s="17">
        <v>19000</v>
      </c>
      <c r="P78" s="29">
        <f t="shared" si="8"/>
        <v>19.7273</v>
      </c>
    </row>
    <row r="79" s="8" customFormat="1" spans="1:16">
      <c r="A79" s="10"/>
      <c r="B79" s="10"/>
      <c r="C79" s="10"/>
      <c r="D79" s="10"/>
      <c r="E79" s="10"/>
      <c r="F79" s="11"/>
      <c r="G79" s="12"/>
      <c r="H79" s="12"/>
      <c r="I79" s="12" t="s">
        <v>111</v>
      </c>
      <c r="J79" s="12">
        <v>279</v>
      </c>
      <c r="K79" s="12">
        <v>30</v>
      </c>
      <c r="L79" s="30" t="s">
        <v>97</v>
      </c>
      <c r="N79" s="32"/>
      <c r="O79" s="17">
        <v>21500</v>
      </c>
      <c r="P79" s="29">
        <f t="shared" si="8"/>
        <v>24.8898</v>
      </c>
    </row>
    <row r="80" s="8" customFormat="1" spans="6:16">
      <c r="F80" s="16"/>
      <c r="G80" s="17"/>
      <c r="H80" s="17"/>
      <c r="I80" s="17" t="s">
        <v>112</v>
      </c>
      <c r="J80" s="17">
        <v>305</v>
      </c>
      <c r="K80" s="17">
        <v>30</v>
      </c>
      <c r="L80" s="30" t="s">
        <v>97</v>
      </c>
      <c r="N80" s="32"/>
      <c r="O80" s="17">
        <v>22857</v>
      </c>
      <c r="P80" s="29">
        <f t="shared" si="8"/>
        <v>27.95370245</v>
      </c>
    </row>
    <row r="81" s="9" customFormat="1" spans="1:16">
      <c r="A81" s="10"/>
      <c r="B81" s="10"/>
      <c r="C81" s="10"/>
      <c r="D81" s="10"/>
      <c r="E81" s="10"/>
      <c r="F81" s="11"/>
      <c r="G81" s="12"/>
      <c r="H81" s="12"/>
      <c r="I81" s="12" t="s">
        <v>98</v>
      </c>
      <c r="J81" s="12">
        <v>345</v>
      </c>
      <c r="K81" s="12"/>
      <c r="L81" s="30" t="s">
        <v>99</v>
      </c>
      <c r="N81" s="32"/>
      <c r="O81" s="39"/>
      <c r="P81" s="39"/>
    </row>
    <row r="82" s="9" customFormat="1" spans="1:16">
      <c r="A82" s="10"/>
      <c r="B82" s="10"/>
      <c r="C82" s="10"/>
      <c r="D82" s="10"/>
      <c r="E82" s="10"/>
      <c r="F82" s="11"/>
      <c r="G82" s="12"/>
      <c r="H82" s="12"/>
      <c r="I82" s="12" t="s">
        <v>100</v>
      </c>
      <c r="J82" s="12">
        <v>305</v>
      </c>
      <c r="K82" s="12"/>
      <c r="L82" s="30" t="s">
        <v>99</v>
      </c>
      <c r="N82" s="32"/>
      <c r="O82" s="17"/>
      <c r="P82" s="40"/>
    </row>
    <row r="83" s="9" customFormat="1" spans="1:16">
      <c r="A83" s="10"/>
      <c r="B83" s="10"/>
      <c r="C83" s="10"/>
      <c r="D83" s="10"/>
      <c r="E83" s="10"/>
      <c r="F83" s="11"/>
      <c r="G83" s="12"/>
      <c r="H83" s="12"/>
      <c r="I83" s="12" t="s">
        <v>113</v>
      </c>
      <c r="J83" s="12">
        <v>254</v>
      </c>
      <c r="K83" s="12"/>
      <c r="L83" s="30" t="s">
        <v>99</v>
      </c>
      <c r="N83" s="32"/>
      <c r="O83" s="39"/>
      <c r="P83" s="40"/>
    </row>
    <row r="84" s="9" customFormat="1" spans="1:16">
      <c r="A84" s="10"/>
      <c r="B84" s="10"/>
      <c r="C84" s="10"/>
      <c r="D84" s="10"/>
      <c r="E84" s="10"/>
      <c r="F84" s="11"/>
      <c r="G84" s="12"/>
      <c r="H84" s="12"/>
      <c r="I84" s="12" t="s">
        <v>114</v>
      </c>
      <c r="J84" s="12">
        <v>229</v>
      </c>
      <c r="K84" s="12"/>
      <c r="L84" s="31" t="s">
        <v>99</v>
      </c>
      <c r="N84" s="32"/>
      <c r="O84" s="39"/>
      <c r="P84" s="40"/>
    </row>
    <row r="85" s="8" customFormat="1" spans="1:16">
      <c r="A85" s="13">
        <v>1916</v>
      </c>
      <c r="B85" s="13" t="s">
        <v>36</v>
      </c>
      <c r="C85" s="13" t="s">
        <v>48</v>
      </c>
      <c r="D85" s="13" t="s">
        <v>49</v>
      </c>
      <c r="E85" s="13" t="s">
        <v>50</v>
      </c>
      <c r="F85" s="25">
        <v>2.5</v>
      </c>
      <c r="G85" s="15" t="s">
        <v>115</v>
      </c>
      <c r="H85" s="15"/>
      <c r="I85" s="15" t="s">
        <v>111</v>
      </c>
      <c r="J85" s="15">
        <v>356</v>
      </c>
      <c r="K85" s="15">
        <v>30</v>
      </c>
      <c r="L85" s="30" t="s">
        <v>97</v>
      </c>
      <c r="N85" s="28" t="s">
        <v>116</v>
      </c>
      <c r="O85" s="17">
        <v>8500</v>
      </c>
      <c r="P85" s="29">
        <f>0.00000004*O85^2+0.0002*O85+0.6048</f>
        <v>5.1948</v>
      </c>
    </row>
    <row r="86" s="8" customFormat="1" spans="1:16">
      <c r="A86" s="10"/>
      <c r="B86" s="10"/>
      <c r="C86" s="10"/>
      <c r="D86" s="10"/>
      <c r="E86" s="10"/>
      <c r="F86" s="11"/>
      <c r="G86" s="26">
        <f>20250*1.0936133</f>
        <v>22145.669325</v>
      </c>
      <c r="H86" s="12"/>
      <c r="I86" s="12" t="s">
        <v>117</v>
      </c>
      <c r="J86" s="12">
        <v>343</v>
      </c>
      <c r="K86" s="12">
        <v>30</v>
      </c>
      <c r="L86" s="30" t="s">
        <v>97</v>
      </c>
      <c r="N86" s="32"/>
      <c r="O86" s="17">
        <v>13000</v>
      </c>
      <c r="P86" s="29">
        <f>0.00000004*O86^2+0.0002*O86+0.6048</f>
        <v>9.9648</v>
      </c>
    </row>
    <row r="87" s="8" customFormat="1" spans="1:16">
      <c r="A87" s="10"/>
      <c r="B87" s="10"/>
      <c r="C87" s="10"/>
      <c r="D87" s="10"/>
      <c r="E87" s="10"/>
      <c r="F87" s="11"/>
      <c r="G87" s="12"/>
      <c r="H87" s="12"/>
      <c r="I87" s="12" t="s">
        <v>98</v>
      </c>
      <c r="J87" s="12">
        <v>390</v>
      </c>
      <c r="K87" s="12"/>
      <c r="L87" s="30" t="s">
        <v>99</v>
      </c>
      <c r="N87" s="32"/>
      <c r="O87" s="17">
        <v>16500</v>
      </c>
      <c r="P87" s="29">
        <f>0.00000004*O87^2+0.0002*O87+0.6048</f>
        <v>14.7948</v>
      </c>
    </row>
    <row r="88" s="8" customFormat="1" spans="1:16">
      <c r="A88" s="10"/>
      <c r="B88" s="10"/>
      <c r="C88" s="10"/>
      <c r="D88" s="10"/>
      <c r="E88" s="10"/>
      <c r="F88" s="11"/>
      <c r="G88" s="12"/>
      <c r="H88" s="12"/>
      <c r="I88" s="12" t="s">
        <v>118</v>
      </c>
      <c r="J88" s="12">
        <v>350</v>
      </c>
      <c r="K88" s="12"/>
      <c r="L88" s="30" t="s">
        <v>99</v>
      </c>
      <c r="N88" s="32"/>
      <c r="O88" s="17">
        <v>19500</v>
      </c>
      <c r="P88" s="29">
        <f>0.00000004*O88^2+0.0002*O88+0.6048</f>
        <v>19.7148</v>
      </c>
    </row>
    <row r="89" s="8" customFormat="1" spans="1:16">
      <c r="A89" s="10"/>
      <c r="B89" s="10"/>
      <c r="C89" s="10"/>
      <c r="D89" s="10"/>
      <c r="E89" s="10"/>
      <c r="F89" s="11"/>
      <c r="G89" s="12"/>
      <c r="H89" s="12"/>
      <c r="I89" s="12" t="s">
        <v>119</v>
      </c>
      <c r="J89" s="12">
        <v>265</v>
      </c>
      <c r="K89" s="12"/>
      <c r="L89" s="30" t="s">
        <v>99</v>
      </c>
      <c r="N89" s="32"/>
      <c r="O89" s="17">
        <v>22146</v>
      </c>
      <c r="P89" s="29">
        <f>0.00000004*O89^2+0.0002*O89+0.6048</f>
        <v>24.65181264</v>
      </c>
    </row>
    <row r="90" s="8" customFormat="1" spans="1:14">
      <c r="A90" s="10"/>
      <c r="B90" s="10"/>
      <c r="C90" s="10"/>
      <c r="D90" s="10"/>
      <c r="E90" s="10"/>
      <c r="F90" s="11"/>
      <c r="G90" s="12"/>
      <c r="H90" s="12"/>
      <c r="I90" s="12" t="s">
        <v>120</v>
      </c>
      <c r="J90" s="12">
        <v>220</v>
      </c>
      <c r="K90" s="12"/>
      <c r="L90" s="31" t="s">
        <v>99</v>
      </c>
      <c r="N90" s="32"/>
    </row>
    <row r="91" s="8" customFormat="1" spans="1:12">
      <c r="A91" s="13">
        <v>1916</v>
      </c>
      <c r="B91" s="13" t="s">
        <v>36</v>
      </c>
      <c r="C91" s="13" t="s">
        <v>45</v>
      </c>
      <c r="D91" s="13" t="s">
        <v>46</v>
      </c>
      <c r="E91" s="13" t="s">
        <v>47</v>
      </c>
      <c r="F91" s="25">
        <v>2.5</v>
      </c>
      <c r="G91" s="15">
        <v>28100</v>
      </c>
      <c r="H91" s="15"/>
      <c r="I91" s="15"/>
      <c r="J91" s="15"/>
      <c r="K91" s="15"/>
      <c r="L91" s="30"/>
    </row>
    <row r="92" s="8" customFormat="1" spans="1:12">
      <c r="A92" s="19"/>
      <c r="B92" s="19"/>
      <c r="C92" s="19"/>
      <c r="D92" s="19"/>
      <c r="E92" s="19"/>
      <c r="F92" s="24"/>
      <c r="G92" s="21"/>
      <c r="H92" s="21"/>
      <c r="I92" s="21"/>
      <c r="J92" s="21"/>
      <c r="K92" s="21"/>
      <c r="L92" s="31"/>
    </row>
    <row r="94" s="8" customFormat="1" spans="1:12">
      <c r="A94" s="10">
        <v>1918</v>
      </c>
      <c r="B94" s="10" t="s">
        <v>16</v>
      </c>
      <c r="C94" s="10" t="s">
        <v>17</v>
      </c>
      <c r="D94" s="10" t="s">
        <v>18</v>
      </c>
      <c r="E94" s="10" t="s">
        <v>51</v>
      </c>
      <c r="F94" s="11"/>
      <c r="G94" s="12"/>
      <c r="H94" s="12"/>
      <c r="I94" s="12"/>
      <c r="J94" s="12"/>
      <c r="K94" s="12"/>
      <c r="L94" s="12"/>
    </row>
    <row r="95" s="8" customFormat="1" spans="1:12">
      <c r="A95" s="10">
        <v>1918</v>
      </c>
      <c r="B95" s="10" t="s">
        <v>16</v>
      </c>
      <c r="C95" s="10" t="s">
        <v>20</v>
      </c>
      <c r="D95" s="10" t="s">
        <v>21</v>
      </c>
      <c r="E95" s="10" t="s">
        <v>51</v>
      </c>
      <c r="F95" s="11"/>
      <c r="G95" s="12"/>
      <c r="H95" s="12"/>
      <c r="I95" s="12"/>
      <c r="J95" s="12"/>
      <c r="K95" s="12"/>
      <c r="L95" s="12"/>
    </row>
    <row r="96" s="8" customFormat="1" spans="1:12">
      <c r="A96" s="10">
        <v>1918</v>
      </c>
      <c r="B96" s="10" t="s">
        <v>16</v>
      </c>
      <c r="C96" s="10" t="s">
        <v>33</v>
      </c>
      <c r="D96" s="10" t="s">
        <v>34</v>
      </c>
      <c r="E96" s="10" t="s">
        <v>19</v>
      </c>
      <c r="F96" s="11"/>
      <c r="G96" s="12"/>
      <c r="H96" s="12"/>
      <c r="I96" s="12"/>
      <c r="J96" s="12"/>
      <c r="K96" s="12"/>
      <c r="L96" s="12"/>
    </row>
    <row r="97" s="8" customFormat="1" spans="1:12">
      <c r="A97" s="10">
        <v>1918</v>
      </c>
      <c r="B97" s="10" t="s">
        <v>16</v>
      </c>
      <c r="C97" s="10" t="s">
        <v>82</v>
      </c>
      <c r="D97" s="10" t="s">
        <v>23</v>
      </c>
      <c r="E97" s="10" t="s">
        <v>52</v>
      </c>
      <c r="F97" s="11"/>
      <c r="G97" s="12"/>
      <c r="H97" s="12"/>
      <c r="I97" s="12"/>
      <c r="J97" s="12"/>
      <c r="K97" s="12"/>
      <c r="L97" s="12"/>
    </row>
    <row r="98" s="8" customFormat="1" spans="1:12">
      <c r="A98" s="10"/>
      <c r="B98" s="10"/>
      <c r="C98" s="10" t="s">
        <v>86</v>
      </c>
      <c r="D98" s="10" t="s">
        <v>87</v>
      </c>
      <c r="E98" s="10"/>
      <c r="F98" s="11"/>
      <c r="G98" s="12"/>
      <c r="H98" s="12"/>
      <c r="I98" s="12"/>
      <c r="J98" s="12"/>
      <c r="K98" s="12"/>
      <c r="L98" s="12"/>
    </row>
    <row r="99" s="8" customFormat="1" spans="1:12">
      <c r="A99" s="10">
        <v>1918</v>
      </c>
      <c r="B99" s="10" t="s">
        <v>16</v>
      </c>
      <c r="C99" s="10" t="s">
        <v>25</v>
      </c>
      <c r="D99" s="10" t="s">
        <v>26</v>
      </c>
      <c r="E99" s="10" t="s">
        <v>53</v>
      </c>
      <c r="F99" s="11"/>
      <c r="G99" s="12"/>
      <c r="H99" s="12"/>
      <c r="I99" s="12"/>
      <c r="J99" s="12"/>
      <c r="K99" s="12"/>
      <c r="L99" s="12"/>
    </row>
    <row r="100" s="8" customFormat="1" spans="1:12">
      <c r="A100" s="10">
        <v>1918</v>
      </c>
      <c r="B100" s="10" t="s">
        <v>16</v>
      </c>
      <c r="C100" s="10" t="s">
        <v>25</v>
      </c>
      <c r="D100" s="10" t="s">
        <v>26</v>
      </c>
      <c r="E100" s="10" t="s">
        <v>54</v>
      </c>
      <c r="F100" s="11"/>
      <c r="G100" s="12"/>
      <c r="H100" s="12"/>
      <c r="I100" s="12"/>
      <c r="J100" s="12"/>
      <c r="K100" s="12"/>
      <c r="L100" s="12"/>
    </row>
    <row r="101" s="8" customFormat="1" spans="1:12">
      <c r="A101" s="10">
        <v>1918</v>
      </c>
      <c r="B101" s="10" t="s">
        <v>16</v>
      </c>
      <c r="C101" s="10" t="s">
        <v>31</v>
      </c>
      <c r="D101" s="10" t="s">
        <v>32</v>
      </c>
      <c r="E101" s="10" t="s">
        <v>52</v>
      </c>
      <c r="F101" s="11"/>
      <c r="G101" s="12"/>
      <c r="H101" s="12"/>
      <c r="I101" s="12"/>
      <c r="J101" s="12"/>
      <c r="K101" s="12"/>
      <c r="L101" s="12"/>
    </row>
    <row r="102" s="8" customFormat="1" spans="1:12">
      <c r="A102" s="10">
        <v>1918</v>
      </c>
      <c r="B102" s="10" t="s">
        <v>16</v>
      </c>
      <c r="C102" s="10" t="s">
        <v>28</v>
      </c>
      <c r="D102" s="10" t="s">
        <v>29</v>
      </c>
      <c r="E102" s="10" t="s">
        <v>55</v>
      </c>
      <c r="F102" s="11"/>
      <c r="G102" s="12"/>
      <c r="H102" s="12"/>
      <c r="I102" s="12"/>
      <c r="J102" s="12"/>
      <c r="K102" s="12"/>
      <c r="L102" s="12"/>
    </row>
    <row r="104" spans="1:5">
      <c r="A104" s="34" t="s">
        <v>121</v>
      </c>
      <c r="B104" s="32"/>
      <c r="C104" s="32"/>
      <c r="D104" s="32"/>
      <c r="E104" s="32"/>
    </row>
    <row r="105" s="8" customFormat="1" spans="1:12">
      <c r="A105" s="35" t="s">
        <v>122</v>
      </c>
      <c r="B105" s="36"/>
      <c r="C105" s="36"/>
      <c r="D105" s="36"/>
      <c r="E105" s="36"/>
      <c r="F105" s="11"/>
      <c r="G105" s="12"/>
      <c r="H105" s="12"/>
      <c r="I105" s="12"/>
      <c r="J105" s="12"/>
      <c r="K105" s="12"/>
      <c r="L105" s="12"/>
    </row>
    <row r="106" s="8" customFormat="1" spans="1:12">
      <c r="A106" s="37" t="s">
        <v>123</v>
      </c>
      <c r="B106" s="36"/>
      <c r="C106" s="36"/>
      <c r="D106" s="36"/>
      <c r="E106" s="36"/>
      <c r="F106" s="11"/>
      <c r="G106" s="12"/>
      <c r="H106" s="12"/>
      <c r="I106" s="12"/>
      <c r="J106" s="12"/>
      <c r="K106" s="12"/>
      <c r="L106" s="12"/>
    </row>
    <row r="107" s="8" customFormat="1" spans="1:12">
      <c r="A107" s="36"/>
      <c r="B107" s="36"/>
      <c r="C107" s="36"/>
      <c r="D107" s="36"/>
      <c r="E107" s="36"/>
      <c r="F107" s="11"/>
      <c r="G107" s="12"/>
      <c r="H107" s="12"/>
      <c r="I107" s="12"/>
      <c r="J107" s="12"/>
      <c r="K107" s="12"/>
      <c r="L107" s="12"/>
    </row>
    <row r="108" s="8" customFormat="1" spans="1:12">
      <c r="A108" s="36"/>
      <c r="B108" s="36"/>
      <c r="C108" s="36"/>
      <c r="D108" s="36"/>
      <c r="E108" s="36"/>
      <c r="F108" s="11"/>
      <c r="G108" s="12"/>
      <c r="H108" s="12"/>
      <c r="I108" s="12"/>
      <c r="J108" s="12"/>
      <c r="K108" s="12"/>
      <c r="L108" s="12"/>
    </row>
    <row r="109" spans="4:4">
      <c r="D109" s="38"/>
    </row>
    <row r="110" s="8" customFormat="1" spans="1:12">
      <c r="A110" s="28" t="s">
        <v>124</v>
      </c>
      <c r="B110" s="32"/>
      <c r="C110" s="32"/>
      <c r="D110" s="32"/>
      <c r="E110" s="32"/>
      <c r="F110" s="11"/>
      <c r="G110" s="12"/>
      <c r="H110" s="12"/>
      <c r="I110" s="12"/>
      <c r="J110" s="12"/>
      <c r="K110" s="12"/>
      <c r="L110" s="12"/>
    </row>
    <row r="111" s="8" customFormat="1" spans="1:12">
      <c r="A111" s="32"/>
      <c r="B111" s="32"/>
      <c r="C111" s="32"/>
      <c r="D111" s="32"/>
      <c r="E111" s="32"/>
      <c r="F111" s="11"/>
      <c r="G111" s="12"/>
      <c r="H111" s="12"/>
      <c r="I111" s="12"/>
      <c r="J111" s="12"/>
      <c r="K111" s="12"/>
      <c r="L111" s="12"/>
    </row>
    <row r="112" s="8" customFormat="1" spans="1:12">
      <c r="A112" s="32"/>
      <c r="B112" s="32"/>
      <c r="C112" s="32"/>
      <c r="D112" s="32"/>
      <c r="E112" s="32"/>
      <c r="F112" s="11"/>
      <c r="G112" s="12"/>
      <c r="H112" s="12"/>
      <c r="I112" s="12"/>
      <c r="J112" s="12"/>
      <c r="K112" s="12"/>
      <c r="L112" s="12"/>
    </row>
    <row r="113" s="8" customFormat="1" spans="1:12">
      <c r="A113" s="32"/>
      <c r="B113" s="32"/>
      <c r="C113" s="32"/>
      <c r="D113" s="32"/>
      <c r="E113" s="32"/>
      <c r="F113" s="11"/>
      <c r="G113" s="12"/>
      <c r="H113" s="12"/>
      <c r="I113" s="12"/>
      <c r="J113" s="12"/>
      <c r="K113" s="12"/>
      <c r="L113" s="12"/>
    </row>
    <row r="114" s="8" customFormat="1" spans="1:12">
      <c r="A114" s="32"/>
      <c r="B114" s="32"/>
      <c r="C114" s="32"/>
      <c r="D114" s="32"/>
      <c r="E114" s="32"/>
      <c r="F114" s="11"/>
      <c r="G114" s="12"/>
      <c r="H114" s="12"/>
      <c r="I114" s="12"/>
      <c r="J114" s="12"/>
      <c r="K114" s="12"/>
      <c r="L114" s="12"/>
    </row>
    <row r="115" s="8" customFormat="1" spans="1:12">
      <c r="A115" s="32"/>
      <c r="B115" s="32"/>
      <c r="C115" s="32"/>
      <c r="D115" s="32"/>
      <c r="E115" s="32"/>
      <c r="F115" s="11"/>
      <c r="G115" s="12"/>
      <c r="H115" s="12"/>
      <c r="I115" s="12"/>
      <c r="J115" s="12"/>
      <c r="K115" s="12"/>
      <c r="L115" s="12"/>
    </row>
    <row r="116" s="8" customFormat="1" spans="1:12">
      <c r="A116" s="32"/>
      <c r="B116" s="32"/>
      <c r="C116" s="32"/>
      <c r="D116" s="32"/>
      <c r="E116" s="32"/>
      <c r="F116" s="11"/>
      <c r="G116" s="12"/>
      <c r="H116" s="12"/>
      <c r="I116" s="12"/>
      <c r="J116" s="12"/>
      <c r="K116" s="12"/>
      <c r="L116" s="12"/>
    </row>
    <row r="117" s="8" customFormat="1" spans="1:12">
      <c r="A117" s="32"/>
      <c r="B117" s="32"/>
      <c r="C117" s="32"/>
      <c r="D117" s="32"/>
      <c r="E117" s="32"/>
      <c r="F117" s="11"/>
      <c r="G117" s="12"/>
      <c r="H117" s="12"/>
      <c r="I117" s="12"/>
      <c r="J117" s="12"/>
      <c r="K117" s="12"/>
      <c r="L117" s="12"/>
    </row>
    <row r="118" s="8" customFormat="1" spans="1:12">
      <c r="A118" s="32"/>
      <c r="B118" s="32"/>
      <c r="C118" s="32"/>
      <c r="D118" s="32"/>
      <c r="E118" s="32"/>
      <c r="F118" s="11"/>
      <c r="G118" s="12"/>
      <c r="H118" s="12"/>
      <c r="I118" s="12"/>
      <c r="J118" s="12"/>
      <c r="K118" s="12"/>
      <c r="L118" s="12"/>
    </row>
    <row r="119" s="8" customFormat="1" spans="1:12">
      <c r="A119" s="32"/>
      <c r="B119" s="32"/>
      <c r="C119" s="32"/>
      <c r="D119" s="32"/>
      <c r="E119" s="32"/>
      <c r="F119" s="11"/>
      <c r="G119" s="12"/>
      <c r="H119" s="12"/>
      <c r="I119" s="12"/>
      <c r="J119" s="12"/>
      <c r="K119" s="12"/>
      <c r="L119" s="12"/>
    </row>
    <row r="120" s="8" customFormat="1" spans="1:12">
      <c r="A120" s="32"/>
      <c r="B120" s="32"/>
      <c r="C120" s="32"/>
      <c r="D120" s="32"/>
      <c r="E120" s="32"/>
      <c r="F120" s="11"/>
      <c r="G120" s="12"/>
      <c r="H120" s="12"/>
      <c r="I120" s="12"/>
      <c r="J120" s="12"/>
      <c r="K120" s="12"/>
      <c r="L120" s="12"/>
    </row>
    <row r="121" s="8" customFormat="1" spans="1:12">
      <c r="A121" s="32"/>
      <c r="B121" s="32"/>
      <c r="C121" s="32"/>
      <c r="D121" s="32"/>
      <c r="E121" s="32"/>
      <c r="F121" s="11"/>
      <c r="G121" s="12"/>
      <c r="H121" s="12"/>
      <c r="I121" s="12"/>
      <c r="J121" s="12"/>
      <c r="K121" s="12"/>
      <c r="L121" s="12"/>
    </row>
    <row r="122" s="8" customFormat="1" spans="1:12">
      <c r="A122" s="32"/>
      <c r="B122" s="32"/>
      <c r="C122" s="32"/>
      <c r="D122" s="32"/>
      <c r="E122" s="32"/>
      <c r="F122" s="11"/>
      <c r="G122" s="12"/>
      <c r="H122" s="12"/>
      <c r="I122" s="12"/>
      <c r="J122" s="12"/>
      <c r="K122" s="12"/>
      <c r="L122" s="12"/>
    </row>
    <row r="123" s="8" customFormat="1" spans="1:12">
      <c r="A123" s="32"/>
      <c r="B123" s="32"/>
      <c r="C123" s="32"/>
      <c r="D123" s="32"/>
      <c r="E123" s="32"/>
      <c r="F123" s="11"/>
      <c r="G123" s="12"/>
      <c r="H123" s="12"/>
      <c r="I123" s="12"/>
      <c r="J123" s="12"/>
      <c r="K123" s="12"/>
      <c r="L123" s="12"/>
    </row>
    <row r="124" s="8" customFormat="1" spans="1:12">
      <c r="A124" s="32"/>
      <c r="B124" s="32"/>
      <c r="C124" s="32"/>
      <c r="D124" s="32"/>
      <c r="E124" s="32"/>
      <c r="F124" s="11"/>
      <c r="G124" s="12"/>
      <c r="H124" s="12"/>
      <c r="I124" s="12"/>
      <c r="J124" s="12"/>
      <c r="K124" s="12"/>
      <c r="L124" s="12"/>
    </row>
    <row r="125" s="8" customFormat="1" spans="1:12">
      <c r="A125" s="32"/>
      <c r="B125" s="32"/>
      <c r="C125" s="32"/>
      <c r="D125" s="32"/>
      <c r="E125" s="32"/>
      <c r="F125" s="11"/>
      <c r="G125" s="12"/>
      <c r="H125" s="12"/>
      <c r="I125" s="12"/>
      <c r="J125" s="12"/>
      <c r="K125" s="12"/>
      <c r="L125" s="12"/>
    </row>
    <row r="126" s="8" customFormat="1" spans="1:12">
      <c r="A126" s="32"/>
      <c r="B126" s="32"/>
      <c r="C126" s="32"/>
      <c r="D126" s="32"/>
      <c r="E126" s="32"/>
      <c r="F126" s="11"/>
      <c r="G126" s="12"/>
      <c r="H126" s="12"/>
      <c r="I126" s="12"/>
      <c r="J126" s="12"/>
      <c r="K126" s="12"/>
      <c r="L126" s="12"/>
    </row>
    <row r="127" s="8" customFormat="1" spans="1:12">
      <c r="A127" s="32"/>
      <c r="B127" s="32"/>
      <c r="C127" s="32"/>
      <c r="D127" s="32"/>
      <c r="E127" s="32"/>
      <c r="F127" s="11"/>
      <c r="G127" s="12"/>
      <c r="H127" s="12"/>
      <c r="I127" s="12"/>
      <c r="J127" s="12"/>
      <c r="K127" s="12"/>
      <c r="L127" s="12"/>
    </row>
    <row r="128" s="8" customFormat="1" spans="1:12">
      <c r="A128" s="32"/>
      <c r="B128" s="32"/>
      <c r="C128" s="32"/>
      <c r="D128" s="32"/>
      <c r="E128" s="32"/>
      <c r="F128" s="11"/>
      <c r="G128" s="12"/>
      <c r="H128" s="12"/>
      <c r="I128" s="12"/>
      <c r="J128" s="12"/>
      <c r="K128" s="12"/>
      <c r="L128" s="12"/>
    </row>
    <row r="129" s="8" customFormat="1" spans="1:12">
      <c r="A129" s="32"/>
      <c r="B129" s="32"/>
      <c r="C129" s="32"/>
      <c r="D129" s="32"/>
      <c r="E129" s="32"/>
      <c r="F129" s="11"/>
      <c r="G129" s="12"/>
      <c r="H129" s="12"/>
      <c r="I129" s="12"/>
      <c r="J129" s="12"/>
      <c r="K129" s="12"/>
      <c r="L129" s="12"/>
    </row>
    <row r="130" s="8" customFormat="1" spans="1:12">
      <c r="A130" s="32"/>
      <c r="B130" s="32"/>
      <c r="C130" s="32"/>
      <c r="D130" s="32"/>
      <c r="E130" s="32"/>
      <c r="F130" s="11"/>
      <c r="G130" s="12"/>
      <c r="H130" s="12"/>
      <c r="I130" s="12"/>
      <c r="J130" s="12"/>
      <c r="K130" s="12"/>
      <c r="L130" s="12"/>
    </row>
    <row r="131" s="8" customFormat="1" spans="1:12">
      <c r="A131" s="32"/>
      <c r="B131" s="32"/>
      <c r="C131" s="32"/>
      <c r="D131" s="32"/>
      <c r="E131" s="32"/>
      <c r="F131" s="11"/>
      <c r="G131" s="12"/>
      <c r="H131" s="12"/>
      <c r="I131" s="12"/>
      <c r="J131" s="12"/>
      <c r="K131" s="12"/>
      <c r="L131" s="12"/>
    </row>
    <row r="133" s="8" customFormat="1" spans="1:12">
      <c r="A133" s="28" t="s">
        <v>125</v>
      </c>
      <c r="B133" s="28"/>
      <c r="C133" s="28"/>
      <c r="D133" s="28"/>
      <c r="E133" s="28"/>
      <c r="F133" s="10"/>
      <c r="G133" s="12"/>
      <c r="H133" s="12"/>
      <c r="I133" s="12"/>
      <c r="J133" s="12"/>
      <c r="K133" s="12"/>
      <c r="L133" s="12"/>
    </row>
    <row r="134" s="8" customFormat="1" spans="1:12">
      <c r="A134" s="28"/>
      <c r="B134" s="28"/>
      <c r="C134" s="28"/>
      <c r="D134" s="28"/>
      <c r="E134" s="28"/>
      <c r="F134" s="10"/>
      <c r="G134" s="12"/>
      <c r="H134" s="12"/>
      <c r="I134" s="12"/>
      <c r="J134" s="12"/>
      <c r="K134" s="12"/>
      <c r="L134" s="12"/>
    </row>
    <row r="135" s="8" customFormat="1" spans="1:12">
      <c r="A135" s="28"/>
      <c r="B135" s="28"/>
      <c r="C135" s="28"/>
      <c r="D135" s="28"/>
      <c r="E135" s="28"/>
      <c r="F135" s="11"/>
      <c r="G135" s="12"/>
      <c r="H135" s="12"/>
      <c r="I135" s="12"/>
      <c r="J135" s="12"/>
      <c r="K135" s="12"/>
      <c r="L135" s="12"/>
    </row>
  </sheetData>
  <mergeCells count="22">
    <mergeCell ref="A104:E104"/>
    <mergeCell ref="A105:E105"/>
    <mergeCell ref="A106:E106"/>
    <mergeCell ref="A107:E107"/>
    <mergeCell ref="A108:E108"/>
    <mergeCell ref="N2:N10"/>
    <mergeCell ref="N11:N18"/>
    <mergeCell ref="N22:N30"/>
    <mergeCell ref="N31:N39"/>
    <mergeCell ref="N40:N50"/>
    <mergeCell ref="N51:N59"/>
    <mergeCell ref="N61:N67"/>
    <mergeCell ref="N68:N74"/>
    <mergeCell ref="N75:N84"/>
    <mergeCell ref="N85:N90"/>
    <mergeCell ref="T2:T10"/>
    <mergeCell ref="T11:T18"/>
    <mergeCell ref="T22:T30"/>
    <mergeCell ref="T31:T39"/>
    <mergeCell ref="T51:T59"/>
    <mergeCell ref="A110:E131"/>
    <mergeCell ref="A133:E135"/>
  </mergeCells>
  <hyperlinks>
    <hyperlink ref="A104" r:id="rId1" display="https://www.warship1.cn/forum.php?mod=viewthread&amp;tid=7423"/>
    <hyperlink ref="A105" r:id="rId2" display="http://www.navweaps.com/"/>
    <hyperlink ref="A106" r:id="rId3" display="https://www.warship1.cn/thread-6042-1-1.html"/>
  </hyperlink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35"/>
  <sheetViews>
    <sheetView workbookViewId="0">
      <selection activeCell="F25" sqref="A1:F25"/>
    </sheetView>
  </sheetViews>
  <sheetFormatPr defaultColWidth="9" defaultRowHeight="14.25"/>
  <cols>
    <col min="1" max="1" width="6.375" customWidth="1"/>
    <col min="2" max="2" width="12.625" customWidth="1"/>
    <col min="3" max="3" width="12.625"/>
    <col min="4" max="4" width="3.375" customWidth="1"/>
    <col min="6" max="6" width="3.375" customWidth="1"/>
    <col min="8" max="8" width="31.5" customWidth="1"/>
    <col min="9" max="9" width="4.375" customWidth="1"/>
    <col min="11" max="11" width="9.375" customWidth="1"/>
  </cols>
  <sheetData>
    <row r="1" spans="1:11">
      <c r="A1" t="s">
        <v>67</v>
      </c>
      <c r="B1" t="s">
        <v>126</v>
      </c>
      <c r="D1" s="1" t="s">
        <v>127</v>
      </c>
      <c r="E1" s="1"/>
      <c r="F1" s="1" t="s">
        <v>128</v>
      </c>
      <c r="K1" t="s">
        <v>67</v>
      </c>
    </row>
    <row r="2" spans="1:11">
      <c r="A2" s="2">
        <v>2000</v>
      </c>
      <c r="B2">
        <f>100/(1+0.0007*(A2-2000))</f>
        <v>100</v>
      </c>
      <c r="C2" s="3"/>
      <c r="D2" s="4">
        <v>53</v>
      </c>
      <c r="E2" s="1"/>
      <c r="F2" s="4">
        <v>56</v>
      </c>
      <c r="G2"/>
      <c r="H2" t="s">
        <v>129</v>
      </c>
      <c r="I2" s="7">
        <v>-0.03</v>
      </c>
      <c r="K2" t="s">
        <v>130</v>
      </c>
    </row>
    <row r="3" spans="1:11">
      <c r="A3" s="2">
        <v>3000</v>
      </c>
      <c r="B3">
        <f>100/(1+0.0007*(A3-2000))</f>
        <v>58.8235294117647</v>
      </c>
      <c r="C3" s="3"/>
      <c r="D3" s="4">
        <v>41</v>
      </c>
      <c r="E3" s="1"/>
      <c r="F3" s="4">
        <v>44</v>
      </c>
      <c r="G3"/>
      <c r="H3" t="s">
        <v>131</v>
      </c>
      <c r="I3" s="7">
        <v>-0.02</v>
      </c>
      <c r="K3">
        <v>3000</v>
      </c>
    </row>
    <row r="4" spans="1:11">
      <c r="A4" s="2">
        <v>4000</v>
      </c>
      <c r="B4">
        <f t="shared" ref="B4:B25" si="0">100/(1+0.0007*(A4-2000))</f>
        <v>41.6666666666667</v>
      </c>
      <c r="C4" s="3"/>
      <c r="D4" s="4">
        <v>31</v>
      </c>
      <c r="E4" s="1"/>
      <c r="F4" s="4">
        <v>34</v>
      </c>
      <c r="G4"/>
      <c r="H4" t="s">
        <v>132</v>
      </c>
      <c r="I4" s="7">
        <v>-0.02</v>
      </c>
      <c r="K4">
        <v>4000</v>
      </c>
    </row>
    <row r="5" spans="1:11">
      <c r="A5" s="2">
        <v>5000</v>
      </c>
      <c r="B5">
        <f t="shared" si="0"/>
        <v>32.258064516129</v>
      </c>
      <c r="C5" s="3"/>
      <c r="D5" s="4">
        <v>23</v>
      </c>
      <c r="E5" s="1"/>
      <c r="F5" s="4">
        <v>25</v>
      </c>
      <c r="G5"/>
      <c r="H5" t="s">
        <v>133</v>
      </c>
      <c r="I5" s="7">
        <v>-0.08</v>
      </c>
      <c r="K5">
        <v>5000</v>
      </c>
    </row>
    <row r="6" spans="1:11">
      <c r="A6" s="2">
        <v>6000</v>
      </c>
      <c r="B6">
        <f t="shared" si="0"/>
        <v>26.3157894736842</v>
      </c>
      <c r="C6" s="3"/>
      <c r="D6" s="4">
        <v>17</v>
      </c>
      <c r="E6" s="1"/>
      <c r="F6" s="4">
        <v>19</v>
      </c>
      <c r="G6"/>
      <c r="K6">
        <v>6000</v>
      </c>
    </row>
    <row r="7" spans="1:11">
      <c r="A7" s="2">
        <v>7000</v>
      </c>
      <c r="B7">
        <f t="shared" si="0"/>
        <v>22.2222222222222</v>
      </c>
      <c r="C7" s="3"/>
      <c r="D7" s="4">
        <v>13</v>
      </c>
      <c r="E7" s="1"/>
      <c r="F7" s="4">
        <v>15</v>
      </c>
      <c r="G7"/>
      <c r="H7" t="s">
        <v>134</v>
      </c>
      <c r="I7" s="7">
        <v>0.02</v>
      </c>
      <c r="K7">
        <v>7000</v>
      </c>
    </row>
    <row r="8" spans="1:11">
      <c r="A8" s="2">
        <v>8000</v>
      </c>
      <c r="B8">
        <f t="shared" si="0"/>
        <v>19.2307692307692</v>
      </c>
      <c r="C8" s="3"/>
      <c r="D8" s="4">
        <v>11</v>
      </c>
      <c r="E8" s="1"/>
      <c r="F8" s="4">
        <v>12</v>
      </c>
      <c r="G8"/>
      <c r="H8" t="s">
        <v>135</v>
      </c>
      <c r="I8" s="7">
        <v>-0.02</v>
      </c>
      <c r="K8">
        <v>8000</v>
      </c>
    </row>
    <row r="9" spans="1:11">
      <c r="A9" s="2">
        <v>9000</v>
      </c>
      <c r="B9">
        <f t="shared" si="0"/>
        <v>16.9491525423729</v>
      </c>
      <c r="C9" s="3"/>
      <c r="D9" s="4">
        <v>10</v>
      </c>
      <c r="E9" s="1"/>
      <c r="F9" s="4">
        <v>11</v>
      </c>
      <c r="G9"/>
      <c r="K9">
        <v>9000</v>
      </c>
    </row>
    <row r="10" spans="1:11">
      <c r="A10" s="2">
        <v>10000</v>
      </c>
      <c r="B10">
        <f t="shared" si="0"/>
        <v>15.1515151515152</v>
      </c>
      <c r="C10" s="3"/>
      <c r="D10" s="4">
        <v>10</v>
      </c>
      <c r="E10" s="1"/>
      <c r="F10" s="4">
        <v>11</v>
      </c>
      <c r="G10"/>
      <c r="H10" t="s">
        <v>136</v>
      </c>
      <c r="I10" s="7">
        <v>-0.01</v>
      </c>
      <c r="K10">
        <v>10000</v>
      </c>
    </row>
    <row r="11" spans="1:11">
      <c r="A11" s="2">
        <v>11000</v>
      </c>
      <c r="B11">
        <f t="shared" si="0"/>
        <v>13.6986301369863</v>
      </c>
      <c r="C11" s="3"/>
      <c r="D11" s="4">
        <v>9</v>
      </c>
      <c r="E11" s="1"/>
      <c r="F11" s="4">
        <v>10</v>
      </c>
      <c r="G11"/>
      <c r="K11">
        <v>11000</v>
      </c>
    </row>
    <row r="12" spans="1:11">
      <c r="A12" s="2">
        <v>12000</v>
      </c>
      <c r="B12">
        <f t="shared" si="0"/>
        <v>12.5</v>
      </c>
      <c r="C12" s="3"/>
      <c r="D12" s="4">
        <v>9</v>
      </c>
      <c r="E12" s="1"/>
      <c r="F12" s="4">
        <v>9</v>
      </c>
      <c r="G12"/>
      <c r="H12" t="s">
        <v>137</v>
      </c>
      <c r="I12" s="7">
        <v>-0.01</v>
      </c>
      <c r="K12">
        <v>12000</v>
      </c>
    </row>
    <row r="13" spans="1:11">
      <c r="A13" s="2">
        <v>13000</v>
      </c>
      <c r="B13">
        <f t="shared" si="0"/>
        <v>11.4942528735632</v>
      </c>
      <c r="C13" s="3"/>
      <c r="D13" s="4">
        <v>9</v>
      </c>
      <c r="E13" s="1"/>
      <c r="F13" s="4">
        <v>9</v>
      </c>
      <c r="G13"/>
      <c r="K13">
        <v>13000</v>
      </c>
    </row>
    <row r="14" spans="1:11">
      <c r="A14" s="2">
        <v>14000</v>
      </c>
      <c r="B14">
        <f t="shared" si="0"/>
        <v>10.6382978723404</v>
      </c>
      <c r="C14" s="3"/>
      <c r="D14" s="4">
        <v>9</v>
      </c>
      <c r="E14" s="1"/>
      <c r="F14" s="4">
        <v>9</v>
      </c>
      <c r="G14"/>
      <c r="H14" t="s">
        <v>138</v>
      </c>
      <c r="I14" s="7">
        <v>-0.03</v>
      </c>
      <c r="K14">
        <v>14000</v>
      </c>
    </row>
    <row r="15" spans="1:11">
      <c r="A15" s="2">
        <v>15000</v>
      </c>
      <c r="B15">
        <f t="shared" si="0"/>
        <v>9.9009900990099</v>
      </c>
      <c r="C15" s="3"/>
      <c r="D15" s="4">
        <v>8</v>
      </c>
      <c r="E15" s="1"/>
      <c r="F15" s="4">
        <v>8</v>
      </c>
      <c r="G15"/>
      <c r="H15" t="s">
        <v>139</v>
      </c>
      <c r="I15" s="7">
        <v>-0.08</v>
      </c>
      <c r="K15">
        <v>15000</v>
      </c>
    </row>
    <row r="16" spans="1:11">
      <c r="A16" s="2">
        <v>16000</v>
      </c>
      <c r="B16">
        <f t="shared" si="0"/>
        <v>9.25925925925926</v>
      </c>
      <c r="C16" s="3"/>
      <c r="D16" s="4">
        <v>8</v>
      </c>
      <c r="E16" s="1"/>
      <c r="F16" s="4">
        <v>8</v>
      </c>
      <c r="G16"/>
      <c r="K16">
        <v>16000</v>
      </c>
    </row>
    <row r="17" spans="1:11">
      <c r="A17" s="2">
        <v>17000</v>
      </c>
      <c r="B17">
        <f t="shared" si="0"/>
        <v>8.69565217391304</v>
      </c>
      <c r="C17" s="3"/>
      <c r="D17" s="4">
        <v>8</v>
      </c>
      <c r="E17" s="1"/>
      <c r="F17" s="4">
        <v>7</v>
      </c>
      <c r="G17"/>
      <c r="H17" t="s">
        <v>140</v>
      </c>
      <c r="I17" s="7">
        <v>-0.02</v>
      </c>
      <c r="K17">
        <v>17000</v>
      </c>
    </row>
    <row r="18" spans="1:11">
      <c r="A18" s="2">
        <v>18000</v>
      </c>
      <c r="B18">
        <f t="shared" si="0"/>
        <v>8.19672131147541</v>
      </c>
      <c r="C18" s="3"/>
      <c r="D18" s="4">
        <v>7</v>
      </c>
      <c r="E18" s="1"/>
      <c r="F18" s="4">
        <v>6</v>
      </c>
      <c r="G18"/>
      <c r="H18" t="s">
        <v>141</v>
      </c>
      <c r="I18" s="7">
        <v>-0.01</v>
      </c>
      <c r="K18">
        <v>18000</v>
      </c>
    </row>
    <row r="19" spans="1:11">
      <c r="A19" s="2">
        <v>19000</v>
      </c>
      <c r="B19">
        <f t="shared" si="0"/>
        <v>7.75193798449612</v>
      </c>
      <c r="C19" s="3"/>
      <c r="D19" s="4">
        <v>7</v>
      </c>
      <c r="E19" s="1"/>
      <c r="F19" s="4">
        <v>6</v>
      </c>
      <c r="G19"/>
      <c r="H19" t="s">
        <v>142</v>
      </c>
      <c r="I19" s="7">
        <v>-0.04</v>
      </c>
      <c r="K19">
        <v>19000</v>
      </c>
    </row>
    <row r="20" spans="1:11">
      <c r="A20" s="2">
        <v>20000</v>
      </c>
      <c r="B20">
        <f t="shared" si="0"/>
        <v>7.35294117647059</v>
      </c>
      <c r="C20" s="3"/>
      <c r="D20" s="4">
        <v>7</v>
      </c>
      <c r="E20" s="1"/>
      <c r="F20" s="4">
        <v>6</v>
      </c>
      <c r="G20"/>
      <c r="H20" t="s">
        <v>143</v>
      </c>
      <c r="I20" s="7">
        <v>0.02</v>
      </c>
      <c r="K20">
        <v>20000</v>
      </c>
    </row>
    <row r="21" spans="1:11">
      <c r="A21" s="2">
        <v>21000</v>
      </c>
      <c r="B21">
        <f t="shared" si="0"/>
        <v>6.99300699300699</v>
      </c>
      <c r="C21" s="3"/>
      <c r="D21" s="4">
        <v>7</v>
      </c>
      <c r="E21" s="1"/>
      <c r="F21" s="4">
        <v>6</v>
      </c>
      <c r="G21"/>
      <c r="K21">
        <v>21000</v>
      </c>
    </row>
    <row r="22" spans="1:11">
      <c r="A22" s="2">
        <v>22000</v>
      </c>
      <c r="B22">
        <f t="shared" si="0"/>
        <v>6.66666666666667</v>
      </c>
      <c r="C22" s="3"/>
      <c r="D22" s="4">
        <v>6</v>
      </c>
      <c r="E22" s="1"/>
      <c r="F22" s="4">
        <v>5</v>
      </c>
      <c r="G22"/>
      <c r="H22" t="s">
        <v>144</v>
      </c>
      <c r="I22" s="7">
        <v>-0.02</v>
      </c>
      <c r="K22">
        <v>22000</v>
      </c>
    </row>
    <row r="23" spans="1:11">
      <c r="A23" s="2">
        <v>23000</v>
      </c>
      <c r="B23">
        <f t="shared" si="0"/>
        <v>6.36942675159236</v>
      </c>
      <c r="C23" s="3"/>
      <c r="D23" s="4">
        <v>6</v>
      </c>
      <c r="E23" s="1"/>
      <c r="F23" s="4">
        <v>5</v>
      </c>
      <c r="G23"/>
      <c r="H23" t="s">
        <v>145</v>
      </c>
      <c r="I23" s="7">
        <v>-0.03</v>
      </c>
      <c r="K23">
        <v>23000</v>
      </c>
    </row>
    <row r="24" spans="1:11">
      <c r="A24" s="2">
        <v>24000</v>
      </c>
      <c r="B24">
        <f t="shared" si="0"/>
        <v>6.09756097560976</v>
      </c>
      <c r="C24" s="3"/>
      <c r="D24" s="4">
        <v>6</v>
      </c>
      <c r="E24" s="1"/>
      <c r="F24" s="4">
        <v>5</v>
      </c>
      <c r="G24"/>
      <c r="H24" t="s">
        <v>146</v>
      </c>
      <c r="I24" s="7">
        <v>-0.05</v>
      </c>
      <c r="K24">
        <v>24000</v>
      </c>
    </row>
    <row r="25" spans="1:11">
      <c r="A25" s="2">
        <v>25000</v>
      </c>
      <c r="B25">
        <f t="shared" si="0"/>
        <v>5.84795321637427</v>
      </c>
      <c r="C25" s="3"/>
      <c r="D25" s="4">
        <v>6</v>
      </c>
      <c r="E25" s="1"/>
      <c r="F25" s="4">
        <v>5</v>
      </c>
      <c r="G25"/>
      <c r="H25" t="s">
        <v>147</v>
      </c>
      <c r="I25" s="7">
        <v>-0.03</v>
      </c>
      <c r="K25">
        <v>25000</v>
      </c>
    </row>
    <row r="26" spans="3:6">
      <c r="C26" s="3"/>
      <c r="D26"/>
      <c r="E26"/>
      <c r="F26" s="5"/>
    </row>
    <row r="27" spans="3:8">
      <c r="C27" s="3"/>
      <c r="D27"/>
      <c r="E27"/>
      <c r="F27" s="5"/>
      <c r="H27" t="s">
        <v>148</v>
      </c>
    </row>
    <row r="28" spans="3:6">
      <c r="C28" s="3"/>
      <c r="D28"/>
      <c r="E28"/>
      <c r="F28" s="5"/>
    </row>
    <row r="29" spans="3:6">
      <c r="C29" s="3"/>
      <c r="D29"/>
      <c r="E29"/>
      <c r="F29" s="5"/>
    </row>
    <row r="30" spans="3:6">
      <c r="C30" s="3"/>
      <c r="D30"/>
      <c r="E30"/>
      <c r="F30" s="5"/>
    </row>
    <row r="32" spans="1:6">
      <c r="A32" s="6" t="s">
        <v>149</v>
      </c>
      <c r="B32" s="1"/>
      <c r="C32" s="1"/>
      <c r="D32" s="1"/>
      <c r="E32" s="1"/>
      <c r="F32" s="1"/>
    </row>
    <row r="33" spans="1:6">
      <c r="A33" s="6" t="s">
        <v>150</v>
      </c>
      <c r="B33" s="1"/>
      <c r="C33" s="1"/>
      <c r="D33" s="1"/>
      <c r="E33" s="1"/>
      <c r="F33" s="1"/>
    </row>
    <row r="34" spans="1:6">
      <c r="A34" s="6" t="s">
        <v>151</v>
      </c>
      <c r="B34" s="1"/>
      <c r="C34" s="1"/>
      <c r="D34" s="1"/>
      <c r="E34" s="1"/>
      <c r="F34" s="1"/>
    </row>
    <row r="35" spans="1:6">
      <c r="A35" s="6" t="s">
        <v>152</v>
      </c>
      <c r="B35" s="1"/>
      <c r="C35" s="1"/>
      <c r="D35" s="1"/>
      <c r="E35" s="1"/>
      <c r="F35" s="1"/>
    </row>
  </sheetData>
  <mergeCells count="4">
    <mergeCell ref="A32:F32"/>
    <mergeCell ref="A33:F33"/>
    <mergeCell ref="A34:F34"/>
    <mergeCell ref="A35:F35"/>
  </mergeCells>
  <hyperlinks>
    <hyperlink ref="A33" r:id="rId2" display="https://www.warship1.cn/thread-7500-1-1.html"/>
    <hyperlink ref="A34" r:id="rId3" display="http://www.navweaps.com/index_inro/INRO_BB-Gunnery.php"/>
    <hyperlink ref="A35" r:id="rId4" display="https://www.warship1.cn/thread-7451-1-1.html"/>
    <hyperlink ref="A32" r:id="rId5" display="https://www.warship1.cn/thread-7495-1-1.html"/>
  </hyperlinks>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工作表</vt:lpstr>
      </vt:variant>
      <vt:variant>
        <vt:i4>3</vt:i4>
      </vt:variant>
    </vt:vector>
  </HeadingPairs>
  <TitlesOfParts>
    <vt:vector size="3" baseType="lpstr">
      <vt:lpstr>Shells</vt:lpstr>
      <vt:lpstr>Trajectory</vt:lpstr>
      <vt:lpstr>Hit_Rate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TU</cp:lastModifiedBy>
  <dcterms:created xsi:type="dcterms:W3CDTF">2026-04-22T09:48:00Z</dcterms:created>
  <dcterms:modified xsi:type="dcterms:W3CDTF">2026-05-26T11:48:35Z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ED7B1F89A0D04BD89A25F32E9A3F032F_13</vt:lpwstr>
  </property>
  <property fmtid="{D5CDD505-2E9C-101B-9397-08002B2CF9AE}" pid="3" name="KSOProductBuildVer">
    <vt:lpwstr>2052-12.1.0.19770</vt:lpwstr>
  </property>
</Properties>
</file>